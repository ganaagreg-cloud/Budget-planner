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ISTS" sheetId="1" state="hidden" r:id="rId1"/>
    <sheet name="Dashboard" sheetId="2" state="visible" r:id="rId2"/>
    <sheet name="START HERE" sheetId="3" state="visible" r:id="rId3"/>
    <sheet name="Monthly Budget" sheetId="4" state="visible" r:id="rId4"/>
    <sheet name="Weekly Budget" sheetId="5" state="visible" r:id="rId5"/>
    <sheet name="Paycheck Budget" sheetId="6" state="visible" r:id="rId6"/>
    <sheet name="Biweekly Budget" sheetId="7" state="visible" r:id="rId7"/>
    <sheet name="Expense Tracker" sheetId="8" state="visible" r:id="rId8"/>
    <sheet name="Income Tracker" sheetId="9" state="visible" r:id="rId9"/>
    <sheet name="Savings Goals" sheetId="10" state="visible" r:id="rId10"/>
    <sheet name="Debt Tracker" sheetId="11" state="visible" r:id="rId11"/>
    <sheet name="Sinking Funds" sheetId="12" state="visible" r:id="rId12"/>
    <sheet name="Subscriptions" sheetId="13" state="visible" r:id="rId13"/>
    <sheet name="Bills Calendar" sheetId="14" state="visible" r:id="rId14"/>
    <sheet name="Annual Overview" sheetId="15" state="visible" r:id="rId15"/>
  </sheets>
  <definedNames>
    <definedName name="CATEGORIES">LISTS!$A$2:$A$19</definedName>
    <definedName name="SUBCATEGORIES">LISTS!$B$2:$B$54</definedName>
    <definedName name="PAYMENT_METHODS">LISTS!$C$2:$C$9</definedName>
    <definedName name="NEED_WANT">LISTS!$D$2:$D$5</definedName>
    <definedName name="YES_NO">LISTS!$E$2:$E$3</definedName>
    <definedName name="INCOME_SOURCES">LISTS!$F$2:$F$11</definedName>
    <definedName name="BILLING_CYCLES">LISTS!$G$2:$G$5</definedName>
    <definedName name="DEBT_TYPES">LISTS!$H$2:$H$10</definedName>
    <definedName name="PAID_STATUS">LISTS!$I$2:$I$4</definedName>
    <definedName name="SUB_STATUS">LISTS!$J$2:$J$4</definedName>
    <definedName name="CATEGORY_TYPE">LISTS!$K$2:$K$3</definedName>
    <definedName name="USER_NAME">'START HERE'!$B$5</definedName>
    <definedName name="CURRENCY">'START HERE'!$B$6</definedName>
    <definedName name="CURRENT_MONTH">'START HERE'!$B$7</definedName>
    <definedName name="MONTHLY_INCOME">'START HERE'!$B$8</definedName>
    <definedName name="SAVINGS_GOAL_PCT">'START HERE'!$B$9</definedName>
    <definedName name="BudgetData">'Monthly Budget'!$A$4:$K$103</definedName>
    <definedName name="ExpenseData">'Expense Tracker'!$A$4:$M$503</definedName>
    <definedName name="IncomeData">'Income Tracker'!$A$4:$K$103</definedName>
    <definedName name="GoalData">'Savings Goals'!$A$4:$H$33</definedName>
    <definedName name="DebtData">'Debt Tracker'!$A$4:$M$7</definedName>
    <definedName name="SinkingFundData">'Sinking Funds'!$A$4:$I$15</definedName>
    <definedName name="SubscriptionData">'Subscriptions'!$A$4:$H$15</definedName>
    <definedName name="BillsData">'Bills Calendar'!$A$4:$L$18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-DD"/>
  </numFmts>
  <fonts count="28">
    <font>
      <name val="Calibri"/>
      <family val="2"/>
      <color theme="1"/>
      <sz val="11"/>
      <scheme val="minor"/>
    </font>
    <font>
      <name val="Calibri"/>
      <b val="1"/>
      <color rgb="00212529"/>
      <sz val="11"/>
    </font>
    <font>
      <name val="Calibri"/>
      <b val="1"/>
      <color rgb="00FFFFFF"/>
      <sz val="20"/>
    </font>
    <font>
      <name val="Calibri"/>
      <i val="1"/>
      <color rgb="00495057"/>
      <sz val="12"/>
    </font>
    <font>
      <name val="Calibri"/>
      <b val="1"/>
      <color rgb="00FFFFFF"/>
      <sz val="13"/>
    </font>
    <font>
      <name val="Calibri"/>
      <b val="1"/>
      <color rgb="00212529"/>
    </font>
    <font>
      <name val="Calibri"/>
      <i val="1"/>
      <color rgb="00495057"/>
      <sz val="9"/>
    </font>
    <font>
      <name val="Calibri"/>
      <b val="1"/>
      <color rgb="002D6A4F"/>
      <sz val="12"/>
    </font>
    <font>
      <name val="Calibri"/>
      <color rgb="00495057"/>
    </font>
    <font>
      <name val="Calibri"/>
      <b val="1"/>
    </font>
    <font>
      <name val="Calibri"/>
      <i val="1"/>
      <color rgb="00495057"/>
    </font>
    <font>
      <name val="Calibri"/>
      <color rgb="00495057"/>
      <sz val="10"/>
    </font>
    <font>
      <name val="Calibri"/>
      <b val="1"/>
      <color rgb="002D6A4F"/>
      <sz val="18"/>
    </font>
    <font>
      <name val="Calibri"/>
      <b val="1"/>
      <color rgb="001B4F72"/>
      <sz val="12"/>
    </font>
    <font>
      <name val="Calibri"/>
      <sz val="9"/>
    </font>
    <font>
      <name val="Calibri"/>
      <b val="1"/>
      <color rgb="001B4F72"/>
      <sz val="18"/>
    </font>
    <font>
      <name val="Calibri"/>
      <i val="1"/>
      <color rgb="00495057"/>
      <sz val="10"/>
    </font>
    <font>
      <name val="Calibri"/>
      <b val="1"/>
      <color rgb="00212529"/>
      <sz val="13"/>
    </font>
    <font>
      <name val="Calibri"/>
      <b val="1"/>
      <color rgb="00495057"/>
    </font>
    <font>
      <name val="Calibri"/>
      <b val="1"/>
      <sz val="12"/>
    </font>
    <font>
      <name val="Calibri"/>
      <b val="1"/>
      <color rgb="00495057"/>
      <sz val="9"/>
    </font>
    <font>
      <name val="Calibri"/>
      <color rgb="002D6A4F"/>
      <sz val="12"/>
    </font>
    <font>
      <name val="Calibri"/>
      <b val="1"/>
      <color rgb="002D6A4F"/>
      <sz val="13"/>
    </font>
    <font>
      <name val="Calibri"/>
      <color rgb="002D6A4F"/>
      <sz val="10"/>
    </font>
    <font>
      <name val="Calibri"/>
      <b val="1"/>
      <color rgb="002D6A4F"/>
      <sz val="10"/>
    </font>
    <font>
      <name val="Calibri"/>
      <b val="1"/>
      <color rgb="00212529"/>
      <sz val="14"/>
    </font>
    <font>
      <name val="Calibri"/>
      <b val="1"/>
      <color rgb="00FFFFFF"/>
      <sz val="10"/>
    </font>
    <font>
      <name val="Calibri"/>
      <b val="1"/>
      <color rgb="00212529"/>
      <sz val="16"/>
    </font>
  </fonts>
  <fills count="7">
    <fill>
      <patternFill/>
    </fill>
    <fill>
      <patternFill patternType="gray125"/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1B4F72"/>
      </patternFill>
    </fill>
    <fill>
      <patternFill patternType="solid">
        <fgColor rgb="00FFF3CD"/>
      </patternFill>
    </fill>
    <fill>
      <patternFill patternType="solid">
        <fgColor rgb="00F8F9FA"/>
      </patternFill>
    </fill>
  </fills>
  <borders count="13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  <border>
      <left style="medium">
        <color rgb="00495057"/>
      </left>
      <right style="thin">
        <color rgb="00E9ECEF"/>
      </right>
      <top style="medium">
        <color rgb="00495057"/>
      </top>
      <bottom style="thin">
        <color rgb="00E9ECEF"/>
      </bottom>
    </border>
    <border>
      <left style="thin">
        <color rgb="00E9ECEF"/>
      </left>
      <right style="thin">
        <color rgb="00E9ECEF"/>
      </right>
      <top style="medium">
        <color rgb="00495057"/>
      </top>
      <bottom style="thin">
        <color rgb="00E9ECEF"/>
      </bottom>
    </border>
    <border>
      <left style="thin">
        <color rgb="00E9ECEF"/>
      </left>
      <right style="medium">
        <color rgb="00495057"/>
      </right>
      <top style="medium">
        <color rgb="00495057"/>
      </top>
      <bottom style="thin">
        <color rgb="00E9ECEF"/>
      </bottom>
    </border>
    <border>
      <left style="medium">
        <color rgb="00495057"/>
      </left>
      <right style="thin">
        <color rgb="00E9ECEF"/>
      </right>
      <top style="thin">
        <color rgb="00E9ECEF"/>
      </top>
      <bottom style="thin">
        <color rgb="00E9ECEF"/>
      </bottom>
    </border>
    <border>
      <left style="thin">
        <color rgb="00E9ECEF"/>
      </left>
      <right style="medium">
        <color rgb="00495057"/>
      </right>
      <top style="thin">
        <color rgb="00E9ECEF"/>
      </top>
      <bottom style="thin">
        <color rgb="00E9ECEF"/>
      </bottom>
    </border>
    <border>
      <left style="medium">
        <color rgb="00495057"/>
      </left>
      <right style="thin">
        <color rgb="00E9ECEF"/>
      </right>
      <top style="thin">
        <color rgb="00E9ECEF"/>
      </top>
      <bottom style="medium">
        <color rgb="00495057"/>
      </bottom>
    </border>
    <border>
      <left style="thin">
        <color rgb="00E9ECEF"/>
      </left>
      <right style="thin">
        <color rgb="00E9ECEF"/>
      </right>
      <top style="thin">
        <color rgb="00E9ECEF"/>
      </top>
      <bottom style="medium">
        <color rgb="00495057"/>
      </bottom>
    </border>
    <border>
      <left style="thin">
        <color rgb="00E9ECEF"/>
      </left>
      <right style="medium">
        <color rgb="00495057"/>
      </right>
      <top style="thin">
        <color rgb="00E9ECEF"/>
      </top>
      <bottom style="medium">
        <color rgb="00495057"/>
      </bottom>
    </border>
    <border>
      <left/>
      <right/>
      <top style="thin">
        <color rgb="00E9ECEF"/>
      </top>
      <bottom/>
      <diagonal/>
    </border>
    <border>
      <left/>
      <right style="thin">
        <color rgb="00E9ECEF"/>
      </right>
      <top style="thin">
        <color rgb="00E9ECEF"/>
      </top>
      <bottom/>
      <diagonal/>
    </border>
    <border>
      <left/>
      <right style="thin">
        <color rgb="00E9ECEF"/>
      </right>
      <top style="thin">
        <color rgb="00E9ECEF"/>
      </top>
      <bottom style="thin">
        <color rgb="00E9ECEF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26" fillId="4" borderId="1" applyAlignment="1" pivotButton="0" quotePrefix="0" xfId="0">
      <alignment horizontal="center" vertical="center"/>
    </xf>
    <xf numFmtId="4" fontId="27" fillId="0" borderId="1" applyAlignment="1" pivotButton="0" quotePrefix="0" xfId="0">
      <alignment horizontal="center" vertical="center"/>
    </xf>
    <xf numFmtId="164" fontId="27" fillId="0" borderId="1" applyAlignment="1" pivotButton="0" quotePrefix="0" xfId="0">
      <alignment horizontal="center" vertical="center"/>
    </xf>
    <xf numFmtId="3" fontId="27" fillId="0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3" fillId="0" borderId="1" pivotButton="0" quotePrefix="0" xfId="0"/>
    <xf numFmtId="0" fontId="0" fillId="2" borderId="1" pivotButton="0" quotePrefix="0" xfId="0"/>
    <xf numFmtId="4" fontId="0" fillId="2" borderId="1" pivotButton="0" quotePrefix="0" xfId="0"/>
    <xf numFmtId="0" fontId="23" fillId="2" borderId="1" pivotButton="0" quotePrefix="0" xfId="0"/>
    <xf numFmtId="0" fontId="9" fillId="2" borderId="1" pivotButton="0" quotePrefix="0" xfId="0"/>
    <xf numFmtId="4" fontId="9" fillId="2" borderId="1" pivotButton="0" quotePrefix="0" xfId="0"/>
    <xf numFmtId="0" fontId="24" fillId="2" borderId="1" pivotButton="0" quotePrefix="0" xfId="0"/>
    <xf numFmtId="166" fontId="0" fillId="0" borderId="1" pivotButton="0" quotePrefix="0" xfId="0"/>
    <xf numFmtId="166" fontId="0" fillId="2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0" fillId="5" borderId="1" applyProtection="1" pivotButton="0" quotePrefix="0" xfId="0">
      <protection locked="0" hidden="0"/>
    </xf>
    <xf numFmtId="0" fontId="6" fillId="0" borderId="0" pivotButton="0" quotePrefix="0" xfId="0"/>
    <xf numFmtId="4" fontId="0" fillId="5" borderId="1" applyProtection="1" pivotButton="0" quotePrefix="0" xfId="0">
      <protection locked="0" hidden="0"/>
    </xf>
    <xf numFmtId="164" fontId="0" fillId="5" borderId="1" applyProtection="1" pivotButton="0" quotePrefix="0" xfId="0">
      <protection locked="0" hidden="0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9" fillId="0" borderId="5" pivotButton="0" quotePrefix="0" xfId="0"/>
    <xf numFmtId="0" fontId="0" fillId="0" borderId="6" applyAlignment="1" pivotButton="0" quotePrefix="0" xfId="0">
      <alignment horizontal="center"/>
    </xf>
    <xf numFmtId="0" fontId="9" fillId="2" borderId="5" pivotButton="0" quotePrefix="0" xfId="0"/>
    <xf numFmtId="0" fontId="0" fillId="2" borderId="6" applyAlignment="1" pivotButton="0" quotePrefix="0" xfId="0">
      <alignment horizontal="center"/>
    </xf>
    <xf numFmtId="0" fontId="9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center"/>
    </xf>
    <xf numFmtId="0" fontId="10" fillId="6" borderId="0" applyAlignment="1" pivotButton="0" quotePrefix="0" xfId="0">
      <alignment vertical="top" wrapText="1"/>
    </xf>
    <xf numFmtId="0" fontId="11" fillId="6" borderId="0" applyAlignment="1" pivotButton="0" quotePrefix="0" xfId="0">
      <alignment horizontal="left" vertical="center"/>
    </xf>
    <xf numFmtId="4" fontId="12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/>
    </xf>
    <xf numFmtId="166" fontId="0" fillId="0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4" fontId="0" fillId="0" borderId="1" applyProtection="1" pivotButton="0" quotePrefix="0" xfId="0">
      <protection locked="0" hidden="0"/>
    </xf>
    <xf numFmtId="164" fontId="0" fillId="0" borderId="1" pivotButton="0" quotePrefix="0" xfId="0"/>
    <xf numFmtId="166" fontId="0" fillId="2" borderId="1" applyProtection="1" pivotButton="0" quotePrefix="0" xfId="0">
      <protection locked="0" hidden="0"/>
    </xf>
    <xf numFmtId="0" fontId="0" fillId="2" borderId="1" applyProtection="1" pivotButton="0" quotePrefix="0" xfId="0">
      <protection locked="0" hidden="0"/>
    </xf>
    <xf numFmtId="4" fontId="0" fillId="2" borderId="1" applyProtection="1" pivotButton="0" quotePrefix="0" xfId="0">
      <protection locked="0" hidden="0"/>
    </xf>
    <xf numFmtId="164" fontId="0" fillId="2" borderId="1" pivotButton="0" quotePrefix="0" xfId="0"/>
    <xf numFmtId="4" fontId="9" fillId="0" borderId="6" pivotButton="0" quotePrefix="0" xfId="0"/>
    <xf numFmtId="0" fontId="0" fillId="0" borderId="5" pivotButton="0" quotePrefix="0" xfId="0"/>
    <xf numFmtId="0" fontId="0" fillId="0" borderId="6" pivotButton="0" quotePrefix="0" xfId="0"/>
    <xf numFmtId="4" fontId="0" fillId="0" borderId="6" pivotButton="0" quotePrefix="0" xfId="0"/>
    <xf numFmtId="4" fontId="9" fillId="2" borderId="6" pivotButton="0" quotePrefix="0" xfId="0"/>
    <xf numFmtId="0" fontId="0" fillId="0" borderId="7" pivotButton="0" quotePrefix="0" xfId="0"/>
    <xf numFmtId="0" fontId="14" fillId="0" borderId="8" pivotButton="0" quotePrefix="0" xfId="0"/>
    <xf numFmtId="0" fontId="14" fillId="2" borderId="8" pivotButton="0" quotePrefix="0" xfId="0"/>
    <xf numFmtId="0" fontId="14" fillId="0" borderId="9" pivotButton="0" quotePrefix="0" xfId="0"/>
    <xf numFmtId="164" fontId="0" fillId="0" borderId="1" applyProtection="1" pivotButton="0" quotePrefix="0" xfId="0">
      <protection locked="0" hidden="0"/>
    </xf>
    <xf numFmtId="164" fontId="0" fillId="2" borderId="1" applyProtection="1" pivotButton="0" quotePrefix="0" xfId="0">
      <protection locked="0" hidden="0"/>
    </xf>
    <xf numFmtId="0" fontId="9" fillId="6" borderId="0" pivotButton="0" quotePrefix="0" xfId="0"/>
    <xf numFmtId="4" fontId="9" fillId="6" borderId="0" pivotButton="0" quotePrefix="0" xfId="0"/>
    <xf numFmtId="4" fontId="0" fillId="6" borderId="0" pivotButton="0" quotePrefix="0" xfId="0"/>
    <xf numFmtId="164" fontId="7" fillId="6" borderId="0" pivotButton="0" quotePrefix="0" xfId="0"/>
    <xf numFmtId="0" fontId="4" fillId="4" borderId="5" applyAlignment="1" pivotButton="0" quotePrefix="0" xfId="0">
      <alignment horizontal="left" vertical="center"/>
    </xf>
    <xf numFmtId="4" fontId="9" fillId="0" borderId="1" pivotButton="0" quotePrefix="0" xfId="0"/>
    <xf numFmtId="4" fontId="9" fillId="0" borderId="8" pivotButton="0" quotePrefix="0" xfId="0"/>
    <xf numFmtId="4" fontId="9" fillId="0" borderId="9" pivotButton="0" quotePrefix="0" xfId="0"/>
    <xf numFmtId="0" fontId="15" fillId="6" borderId="0" applyAlignment="1" pivotButton="0" quotePrefix="0" xfId="0">
      <alignment horizontal="left" vertical="center"/>
    </xf>
    <xf numFmtId="0" fontId="0" fillId="6" borderId="0" pivotButton="0" quotePrefix="0" xfId="0"/>
    <xf numFmtId="4" fontId="9" fillId="0" borderId="1" applyProtection="1" pivotButton="0" quotePrefix="0" xfId="0">
      <protection locked="0" hidden="0"/>
    </xf>
    <xf numFmtId="4" fontId="9" fillId="2" borderId="1" applyProtection="1" pivotButton="0" quotePrefix="0" xfId="0">
      <protection locked="0" hidden="0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9" fillId="0" borderId="1" pivotButton="0" quotePrefix="0" xfId="0"/>
    <xf numFmtId="0" fontId="0" fillId="2" borderId="0" pivotButton="0" quotePrefix="0" xfId="0"/>
    <xf numFmtId="0" fontId="16" fillId="0" borderId="0" applyAlignment="1" pivotButton="0" quotePrefix="0" xfId="0">
      <alignment horizontal="left" vertical="center" wrapText="1"/>
    </xf>
    <xf numFmtId="0" fontId="17" fillId="2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right" vertical="center"/>
    </xf>
    <xf numFmtId="4" fontId="19" fillId="5" borderId="1" applyProtection="1" pivotButton="0" quotePrefix="0" xfId="0">
      <protection locked="0" hidden="0"/>
    </xf>
    <xf numFmtId="0" fontId="20" fillId="0" borderId="1" applyAlignment="1" pivotButton="0" quotePrefix="0" xfId="0">
      <alignment horizontal="right" vertical="center"/>
    </xf>
    <xf numFmtId="166" fontId="0" fillId="5" borderId="1" applyProtection="1" pivotButton="0" quotePrefix="0" xfId="0">
      <protection locked="0" hidden="0"/>
    </xf>
    <xf numFmtId="0" fontId="21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10" fontId="0" fillId="5" borderId="1" applyProtection="1" pivotButton="0" quotePrefix="0" xfId="0">
      <protection locked="0" hidden="0"/>
    </xf>
    <xf numFmtId="10" fontId="0" fillId="2" borderId="1" applyProtection="1" pivotButton="0" quotePrefix="0" xfId="0">
      <protection locked="0" hidden="0"/>
    </xf>
    <xf numFmtId="0" fontId="18" fillId="2" borderId="1" applyAlignment="1" pivotButton="0" quotePrefix="0" xfId="0">
      <alignment horizontal="left" vertical="center" wrapText="1"/>
    </xf>
    <xf numFmtId="10" fontId="0" fillId="0" borderId="1" pivotButton="0" quotePrefix="0" xfId="0"/>
    <xf numFmtId="10" fontId="0" fillId="2" borderId="1" pivotButton="0" quotePrefix="0" xfId="0"/>
    <xf numFmtId="0" fontId="19" fillId="2" borderId="1" pivotButton="0" quotePrefix="0" xfId="0"/>
    <xf numFmtId="164" fontId="9" fillId="2" borderId="1" pivotButton="0" quotePrefix="0" xfId="0"/>
    <xf numFmtId="3" fontId="0" fillId="2" borderId="1" pivotButton="0" quotePrefix="0" xfId="0"/>
    <xf numFmtId="0" fontId="0" fillId="5" borderId="1" applyAlignment="1" applyProtection="1" pivotButton="0" quotePrefix="0" xfId="0">
      <alignment horizontal="center"/>
      <protection locked="0" hidden="0"/>
    </xf>
    <xf numFmtId="3" fontId="0" fillId="0" borderId="1" applyAlignment="1" pivotButton="0" quotePrefix="0" xfId="0">
      <alignment horizontal="center"/>
    </xf>
    <xf numFmtId="0" fontId="0" fillId="2" borderId="1" applyAlignment="1" applyProtection="1" pivotButton="0" quotePrefix="0" xfId="0">
      <alignment horizontal="center"/>
      <protection locked="0" hidden="0"/>
    </xf>
    <xf numFmtId="3" fontId="0" fillId="2" borderId="1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4" fontId="25" fillId="0" borderId="1" applyAlignment="1" pivotButton="0" quotePrefix="0" xfId="0">
      <alignment horizontal="left" vertical="center"/>
    </xf>
    <xf numFmtId="164" fontId="25" fillId="0" borderId="1" applyAlignment="1" pivotButton="0" quotePrefix="0" xfId="0">
      <alignment horizontal="left" vertical="center"/>
    </xf>
    <xf numFmtId="0" fontId="0" fillId="0" borderId="12" pivotButton="0" quotePrefix="0" xfId="0"/>
  </cellXfs>
  <cellStyles count="1">
    <cellStyle name="Normal" xfId="0" builtinId="0" hidden="0"/>
  </cellStyles>
  <dxfs count="12">
    <dxf>
      <font>
        <name val="Calibri"/>
        <color rgb="002D6A4F"/>
      </font>
      <fill>
        <patternFill patternType="solid">
          <fgColor rgb="00B7E4C7"/>
        </patternFill>
      </fill>
    </dxf>
    <dxf>
      <font>
        <name val="Calibri"/>
        <color rgb="00E63946"/>
      </font>
      <fill>
        <patternFill patternType="solid">
          <fgColor rgb="00FFE5E5"/>
        </patternFill>
      </fill>
    </dxf>
    <dxf>
      <fill>
        <patternFill patternType="solid">
          <fgColor rgb="00B7E4C7"/>
        </patternFill>
      </fill>
    </dxf>
    <dxf>
      <fill>
        <patternFill patternType="solid">
          <fgColor rgb="00FFE5E5"/>
        </patternFill>
      </fill>
    </dxf>
    <dxf>
      <fill>
        <patternFill patternType="solid">
          <fgColor rgb="00F4A261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6EAF8"/>
        </patternFill>
      </fill>
    </dxf>
    <dxf>
      <fill>
        <patternFill patternType="solid">
          <fgColor rgb="00FDE6D2"/>
        </patternFill>
      </fill>
    </dxf>
    <dxf>
      <fill>
        <patternFill patternType="solid">
          <fgColor rgb="00F3E8FF"/>
        </patternFill>
      </fill>
    </dxf>
    <dxf>
      <font>
        <name val="Calibri"/>
        <b val="1"/>
      </font>
    </dxf>
    <dxf>
      <font>
        <name val="Calibri"/>
        <b val="1"/>
        <color rgb="00E63946"/>
      </font>
      <fill>
        <patternFill patternType="solid">
          <fgColor rgb="00FFE5E5"/>
        </patternFill>
      </fill>
    </dxf>
    <dxf>
      <font>
        <name val="Calibri"/>
        <i val="1"/>
        <strike val="1"/>
        <color rgb="00495057"/>
      </font>
      <fill>
        <patternFill patternType="solid">
          <fgColor rgb="00E9EC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Budget Planner</author>
  </authors>
  <commentList>
    <comment ref="A1" authorId="0" shapeId="0">
      <text>
        <t>← Back to Dashboard</t>
      </text>
    </comment>
  </commentList>
</comments>
</file>

<file path=xl/comments/comment2.xml><?xml version="1.0" encoding="utf-8"?>
<comments xmlns="http://schemas.openxmlformats.org/spreadsheetml/2006/main">
  <authors>
    <author>Budget Planner</author>
  </authors>
  <commentList>
    <comment ref="A1" authorId="0" shapeId="0">
      <text>
        <t>← Back to Dashboard</t>
      </text>
    </comment>
  </commentList>
</comments>
</file>

<file path=xl/comments/comment3.xml><?xml version="1.0" encoding="utf-8"?>
<comments xmlns="http://schemas.openxmlformats.org/spreadsheetml/2006/main">
  <authors>
    <author>Budget Planner</author>
  </authors>
  <commentList>
    <comment ref="A1" authorId="0" shapeId="0">
      <text>
        <t>← Back to Dashboard</t>
      </text>
    </comment>
  </commentList>
</comments>
</file>

<file path=xl/comments/comment4.xml><?xml version="1.0" encoding="utf-8"?>
<comments xmlns="http://schemas.openxmlformats.org/spreadsheetml/2006/main">
  <authors>
    <author>Budget Planner</author>
  </authors>
  <commentList>
    <comment ref="A1" authorId="0" shapeId="0">
      <text>
        <t>← Back to Dashboard</t>
      </text>
    </comment>
  </commentList>
</comments>
</file>

<file path=xl/comments/comment5.xml><?xml version="1.0" encoding="utf-8"?>
<comments xmlns="http://schemas.openxmlformats.org/spreadsheetml/2006/main">
  <authors>
    <author>Budget Planner</author>
  </authors>
  <commentList>
    <comment ref="A1" authorId="0" shapeId="0">
      <text>
        <t>← Back to Dashboard</t>
      </text>
    </comment>
  </commentList>
</comments>
</file>

<file path=xl/comments/comment6.xml><?xml version="1.0" encoding="utf-8"?>
<comments xmlns="http://schemas.openxmlformats.org/spreadsheetml/2006/main">
  <authors>
    <author>Budget Planner</author>
  </authors>
  <commentList>
    <comment ref="A1" authorId="0" shapeId="0">
      <text>
        <t>← Back to Dashboard</t>
      </text>
    </comment>
  </commentList>
</comments>
</file>

<file path=xl/comments/comment7.xml><?xml version="1.0" encoding="utf-8"?>
<comments xmlns="http://schemas.openxmlformats.org/spreadsheetml/2006/main">
  <authors>
    <author>Budget Planner</author>
  </authors>
  <commentList>
    <comment ref="A1" authorId="0" shapeId="0">
      <text>
        <t>← Back to Dashboard</t>
      </text>
    </comment>
  </commentList>
</comments>
</file>

<file path=xl/comments/comment8.xml><?xml version="1.0" encoding="utf-8"?>
<comments xmlns="http://schemas.openxmlformats.org/spreadsheetml/2006/main">
  <authors>
    <author>Budget Planner</author>
  </authors>
  <commentList>
    <comment ref="A1" authorId="0" shapeId="0">
      <text>
        <t>← Back to Dashboard</t>
      </text>
    </comment>
  </commentList>
</comments>
</file>

<file path=xl/comments/comment9.xml><?xml version="1.0" encoding="utf-8"?>
<comments xmlns="http://schemas.openxmlformats.org/spreadsheetml/2006/main">
  <authors>
    <author>Budget Planner</author>
  </authors>
  <commentList>
    <comment ref="A1" authorId="0" shapeId="0">
      <text>
        <t>← Back to Dashboard</t>
      </text>
    </comment>
  </commentList>
</comments>
</file>

<file path=xl/comments/comment10.xml><?xml version="1.0" encoding="utf-8"?>
<comments xmlns="http://schemas.openxmlformats.org/spreadsheetml/2006/main">
  <authors>
    <author>Budget Planner</author>
  </authors>
  <commentList>
    <comment ref="A1" authorId="0" shapeId="0">
      <text>
        <t>← Back to Dashboard</t>
      </text>
    </comment>
  </commentList>
</comments>
</file>

<file path=xl/comments/comment11.xml><?xml version="1.0" encoding="utf-8"?>
<comments xmlns="http://schemas.openxmlformats.org/spreadsheetml/2006/main">
  <authors>
    <author>Budget Planner</author>
  </authors>
  <commentList>
    <comment ref="A1" authorId="0" shapeId="0">
      <text>
        <t>← Back to Dashboard</t>
      </text>
    </comment>
  </commentList>
</comments>
</file>

<file path=xl/comments/comment12.xml><?xml version="1.0" encoding="utf-8"?>
<comments xmlns="http://schemas.openxmlformats.org/spreadsheetml/2006/main">
  <authors>
    <author>Budget Planner</author>
  </authors>
  <commentList>
    <comment ref="A1" authorId="0" shapeId="0">
      <text>
        <t>← Back to Dashboard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Payment_Method</t>
        </is>
      </c>
      <c r="D1" s="1" t="inlineStr">
        <is>
          <t>Need_Want</t>
        </is>
      </c>
      <c r="E1" s="1" t="inlineStr">
        <is>
          <t>Yes_No</t>
        </is>
      </c>
      <c r="F1" s="1" t="inlineStr">
        <is>
          <t>Income_Source</t>
        </is>
      </c>
      <c r="G1" s="1" t="inlineStr">
        <is>
          <t>Billing_Cycle</t>
        </is>
      </c>
      <c r="H1" s="1" t="inlineStr">
        <is>
          <t>Debt_Type</t>
        </is>
      </c>
      <c r="I1" s="1" t="inlineStr">
        <is>
          <t>Paid_Status</t>
        </is>
      </c>
      <c r="J1" s="1" t="inlineStr">
        <is>
          <t>Sub_Status</t>
        </is>
      </c>
      <c r="K1" s="1" t="inlineStr">
        <is>
          <t>Category_Type</t>
        </is>
      </c>
    </row>
    <row r="2">
      <c r="A2" t="inlineStr">
        <is>
          <t>Housing</t>
        </is>
      </c>
      <c r="B2" t="inlineStr">
        <is>
          <t>Rent</t>
        </is>
      </c>
      <c r="C2" t="inlineStr">
        <is>
          <t>Cash</t>
        </is>
      </c>
      <c r="D2" t="inlineStr">
        <is>
          <t>Need</t>
        </is>
      </c>
      <c r="E2" t="inlineStr">
        <is>
          <t>Yes</t>
        </is>
      </c>
      <c r="F2" t="inlineStr">
        <is>
          <t>Salary</t>
        </is>
      </c>
      <c r="G2" t="inlineStr">
        <is>
          <t>Monthly</t>
        </is>
      </c>
      <c r="H2" t="inlineStr">
        <is>
          <t>Credit Card</t>
        </is>
      </c>
      <c r="I2" t="inlineStr">
        <is>
          <t>Yes</t>
        </is>
      </c>
      <c r="J2" t="inlineStr">
        <is>
          <t>Active</t>
        </is>
      </c>
      <c r="K2" t="inlineStr">
        <is>
          <t>Active</t>
        </is>
      </c>
    </row>
    <row r="3">
      <c r="A3" t="inlineStr">
        <is>
          <t>Food &amp; Dining</t>
        </is>
      </c>
      <c r="B3" t="inlineStr">
        <is>
          <t>Mortgage</t>
        </is>
      </c>
      <c r="C3" t="inlineStr">
        <is>
          <t>Debit Card</t>
        </is>
      </c>
      <c r="D3" t="inlineStr">
        <is>
          <t>Want</t>
        </is>
      </c>
      <c r="E3" t="inlineStr">
        <is>
          <t>No</t>
        </is>
      </c>
      <c r="F3" t="inlineStr">
        <is>
          <t>Freelance/Contract</t>
        </is>
      </c>
      <c r="G3" t="inlineStr">
        <is>
          <t>Annual</t>
        </is>
      </c>
      <c r="H3" t="inlineStr">
        <is>
          <t>Car Loan</t>
        </is>
      </c>
      <c r="I3" t="inlineStr">
        <is>
          <t>No</t>
        </is>
      </c>
      <c r="J3" t="inlineStr">
        <is>
          <t>Cancelled</t>
        </is>
      </c>
      <c r="K3" t="inlineStr">
        <is>
          <t>Passive</t>
        </is>
      </c>
    </row>
    <row r="4">
      <c r="A4" t="inlineStr">
        <is>
          <t>Transportation</t>
        </is>
      </c>
      <c r="B4" t="inlineStr">
        <is>
          <t>Home Insurance</t>
        </is>
      </c>
      <c r="C4" t="inlineStr">
        <is>
          <t>Credit Card</t>
        </is>
      </c>
      <c r="D4" t="inlineStr">
        <is>
          <t>Investment</t>
        </is>
      </c>
      <c r="F4" t="inlineStr">
        <is>
          <t>Business Revenue</t>
        </is>
      </c>
      <c r="G4" t="inlineStr">
        <is>
          <t>Quarterly</t>
        </is>
      </c>
      <c r="H4" t="inlineStr">
        <is>
          <t>Student Loan</t>
        </is>
      </c>
      <c r="I4" t="inlineStr">
        <is>
          <t>Pending</t>
        </is>
      </c>
      <c r="J4" t="inlineStr">
        <is>
          <t>Paused</t>
        </is>
      </c>
    </row>
    <row r="5">
      <c r="A5" t="inlineStr">
        <is>
          <t>Entertainment</t>
        </is>
      </c>
      <c r="B5" t="inlineStr">
        <is>
          <t>Repairs</t>
        </is>
      </c>
      <c r="C5" t="inlineStr">
        <is>
          <t>Bank Transfer</t>
        </is>
      </c>
      <c r="D5" t="inlineStr">
        <is>
          <t>Savings</t>
        </is>
      </c>
      <c r="F5" t="inlineStr">
        <is>
          <t>Rental Income</t>
        </is>
      </c>
      <c r="G5" t="inlineStr">
        <is>
          <t>Weekly</t>
        </is>
      </c>
      <c r="H5" t="inlineStr">
        <is>
          <t>Personal Loan</t>
        </is>
      </c>
    </row>
    <row r="6">
      <c r="A6" t="inlineStr">
        <is>
          <t>Shopping</t>
        </is>
      </c>
      <c r="B6" t="inlineStr">
        <is>
          <t>HOA</t>
        </is>
      </c>
      <c r="C6" t="inlineStr">
        <is>
          <t>PayPal</t>
        </is>
      </c>
      <c r="F6" t="inlineStr">
        <is>
          <t>Dividends</t>
        </is>
      </c>
      <c r="H6" t="inlineStr">
        <is>
          <t>Medical Debt</t>
        </is>
      </c>
    </row>
    <row r="7">
      <c r="A7" t="inlineStr">
        <is>
          <t>Healthcare</t>
        </is>
      </c>
      <c r="B7" t="inlineStr">
        <is>
          <t>Groceries</t>
        </is>
      </c>
      <c r="C7" t="inlineStr">
        <is>
          <t>Venmo</t>
        </is>
      </c>
      <c r="F7" t="inlineStr">
        <is>
          <t>Interest</t>
        </is>
      </c>
      <c r="H7" t="inlineStr">
        <is>
          <t>Mortgage</t>
        </is>
      </c>
    </row>
    <row r="8">
      <c r="A8" t="inlineStr">
        <is>
          <t>Utilities</t>
        </is>
      </c>
      <c r="B8" t="inlineStr">
        <is>
          <t>Restaurants</t>
        </is>
      </c>
      <c r="C8" t="inlineStr">
        <is>
          <t>Check</t>
        </is>
      </c>
      <c r="F8" t="inlineStr">
        <is>
          <t>Refund</t>
        </is>
      </c>
      <c r="H8" t="inlineStr">
        <is>
          <t>Home Equity</t>
        </is>
      </c>
    </row>
    <row r="9">
      <c r="A9" t="inlineStr">
        <is>
          <t>Education</t>
        </is>
      </c>
      <c r="B9" t="inlineStr">
        <is>
          <t>Coffee</t>
        </is>
      </c>
      <c r="C9" t="inlineStr">
        <is>
          <t>Other</t>
        </is>
      </c>
      <c r="F9" t="inlineStr">
        <is>
          <t>Gift</t>
        </is>
      </c>
      <c r="H9" t="inlineStr">
        <is>
          <t>Business Loan</t>
        </is>
      </c>
    </row>
    <row r="10">
      <c r="A10" t="inlineStr">
        <is>
          <t>Personal Care</t>
        </is>
      </c>
      <c r="B10" t="inlineStr">
        <is>
          <t>Delivery</t>
        </is>
      </c>
      <c r="F10" t="inlineStr">
        <is>
          <t>Side Hustle</t>
        </is>
      </c>
      <c r="H10" t="inlineStr">
        <is>
          <t>Other</t>
        </is>
      </c>
    </row>
    <row r="11">
      <c r="A11" t="inlineStr">
        <is>
          <t>Savings</t>
        </is>
      </c>
      <c r="B11" t="inlineStr">
        <is>
          <t>Gas</t>
        </is>
      </c>
      <c r="F11" t="inlineStr">
        <is>
          <t>Other</t>
        </is>
      </c>
    </row>
    <row r="12">
      <c r="A12" t="inlineStr">
        <is>
          <t>Investments</t>
        </is>
      </c>
      <c r="B12" t="inlineStr">
        <is>
          <t>Car Insurance</t>
        </is>
      </c>
    </row>
    <row r="13">
      <c r="A13" t="inlineStr">
        <is>
          <t>Debt Payment</t>
        </is>
      </c>
      <c r="B13" t="inlineStr">
        <is>
          <t>Maintenance</t>
        </is>
      </c>
    </row>
    <row r="14">
      <c r="A14" t="inlineStr">
        <is>
          <t>Kids</t>
        </is>
      </c>
      <c r="B14" t="inlineStr">
        <is>
          <t>Parking</t>
        </is>
      </c>
    </row>
    <row r="15">
      <c r="A15" t="inlineStr">
        <is>
          <t>Pets</t>
        </is>
      </c>
      <c r="B15" t="inlineStr">
        <is>
          <t>Public Transit</t>
        </is>
      </c>
    </row>
    <row r="16">
      <c r="A16" t="inlineStr">
        <is>
          <t>Travel</t>
        </is>
      </c>
      <c r="B16" t="inlineStr">
        <is>
          <t>Streaming</t>
        </is>
      </c>
    </row>
    <row r="17">
      <c r="A17" t="inlineStr">
        <is>
          <t>Subscriptions</t>
        </is>
      </c>
      <c r="B17" t="inlineStr">
        <is>
          <t>Movies</t>
        </is>
      </c>
    </row>
    <row r="18">
      <c r="A18" t="inlineStr">
        <is>
          <t>Insurance</t>
        </is>
      </c>
      <c r="B18" t="inlineStr">
        <is>
          <t>Games</t>
        </is>
      </c>
    </row>
    <row r="19">
      <c r="A19" t="inlineStr">
        <is>
          <t>Other</t>
        </is>
      </c>
      <c r="B19" t="inlineStr">
        <is>
          <t>Sports</t>
        </is>
      </c>
    </row>
    <row r="20">
      <c r="B20" t="inlineStr">
        <is>
          <t>Hobbies</t>
        </is>
      </c>
    </row>
    <row r="21">
      <c r="B21" t="inlineStr">
        <is>
          <t>Clothing</t>
        </is>
      </c>
    </row>
    <row r="22">
      <c r="B22" t="inlineStr">
        <is>
          <t>Electronics</t>
        </is>
      </c>
    </row>
    <row r="23">
      <c r="B23" t="inlineStr">
        <is>
          <t>Gifts</t>
        </is>
      </c>
    </row>
    <row r="24">
      <c r="B24" t="inlineStr">
        <is>
          <t>Doctor</t>
        </is>
      </c>
    </row>
    <row r="25">
      <c r="B25" t="inlineStr">
        <is>
          <t>Dental</t>
        </is>
      </c>
    </row>
    <row r="26">
      <c r="B26" t="inlineStr">
        <is>
          <t>Pharmacy</t>
        </is>
      </c>
    </row>
    <row r="27">
      <c r="B27" t="inlineStr">
        <is>
          <t>Vision</t>
        </is>
      </c>
    </row>
    <row r="28">
      <c r="B28" t="inlineStr">
        <is>
          <t>Electricity</t>
        </is>
      </c>
    </row>
    <row r="29">
      <c r="B29" t="inlineStr">
        <is>
          <t>Water</t>
        </is>
      </c>
    </row>
    <row r="30">
      <c r="B30" t="inlineStr">
        <is>
          <t>Internet</t>
        </is>
      </c>
    </row>
    <row r="31">
      <c r="B31" t="inlineStr">
        <is>
          <t>Phone</t>
        </is>
      </c>
    </row>
    <row r="32">
      <c r="B32" t="inlineStr">
        <is>
          <t>Gas Utility</t>
        </is>
      </c>
    </row>
    <row r="33">
      <c r="B33" t="inlineStr">
        <is>
          <t>Tuition</t>
        </is>
      </c>
    </row>
    <row r="34">
      <c r="B34" t="inlineStr">
        <is>
          <t>Books</t>
        </is>
      </c>
    </row>
    <row r="35">
      <c r="B35" t="inlineStr">
        <is>
          <t>Courses</t>
        </is>
      </c>
    </row>
    <row r="36">
      <c r="B36" t="inlineStr">
        <is>
          <t>Haircuts</t>
        </is>
      </c>
    </row>
    <row r="37">
      <c r="B37" t="inlineStr">
        <is>
          <t>Gym</t>
        </is>
      </c>
    </row>
    <row r="38">
      <c r="B38" t="inlineStr">
        <is>
          <t>Spa</t>
        </is>
      </c>
    </row>
    <row r="39">
      <c r="B39" t="inlineStr">
        <is>
          <t>Emergency Fund</t>
        </is>
      </c>
    </row>
    <row r="40">
      <c r="B40" t="inlineStr">
        <is>
          <t>General Savings</t>
        </is>
      </c>
    </row>
    <row r="41">
      <c r="B41" t="inlineStr">
        <is>
          <t>Stocks</t>
        </is>
      </c>
    </row>
    <row r="42">
      <c r="B42" t="inlineStr">
        <is>
          <t>Retirement</t>
        </is>
      </c>
    </row>
    <row r="43">
      <c r="B43" t="inlineStr">
        <is>
          <t>Credit Card</t>
        </is>
      </c>
    </row>
    <row r="44">
      <c r="B44" t="inlineStr">
        <is>
          <t>Loan Payment</t>
        </is>
      </c>
    </row>
    <row r="45">
      <c r="B45" t="inlineStr">
        <is>
          <t>School Supplies</t>
        </is>
      </c>
    </row>
    <row r="46">
      <c r="B46" t="inlineStr">
        <is>
          <t>Childcare</t>
        </is>
      </c>
    </row>
    <row r="47">
      <c r="B47" t="inlineStr">
        <is>
          <t>Activities</t>
        </is>
      </c>
    </row>
    <row r="48">
      <c r="B48" t="inlineStr">
        <is>
          <t>Pet Food</t>
        </is>
      </c>
    </row>
    <row r="49">
      <c r="B49" t="inlineStr">
        <is>
          <t>Vet</t>
        </is>
      </c>
    </row>
    <row r="50">
      <c r="B50" t="inlineStr">
        <is>
          <t>Grooming</t>
        </is>
      </c>
    </row>
    <row r="51">
      <c r="B51" t="inlineStr">
        <is>
          <t>Flights</t>
        </is>
      </c>
    </row>
    <row r="52">
      <c r="B52" t="inlineStr">
        <is>
          <t>Hotels</t>
        </is>
      </c>
    </row>
    <row r="53">
      <c r="B53" t="inlineStr">
        <is>
          <t>Trip Activities</t>
        </is>
      </c>
    </row>
    <row r="54">
      <c r="B54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6A4F"/>
    <outlinePr summaryBelow="1" summaryRight="1"/>
  </sheetPr>
  <dimension ref="A1:O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8" customWidth="1" min="5" max="5"/>
    <col width="16" customWidth="1" min="6" max="6"/>
    <col width="16" customWidth="1" min="7" max="7"/>
    <col width="18" customWidth="1" min="8" max="8"/>
    <col hidden="1" width="16" customWidth="1" min="10" max="10"/>
    <col hidden="1" width="12" customWidth="1" min="11" max="11"/>
    <col hidden="1" width="8" customWidth="1" min="12" max="12"/>
    <col hidden="1" width="4" customWidth="1" min="13" max="13"/>
    <col hidden="1" width="6" customWidth="1" min="14" max="14"/>
    <col hidden="1" width="6" customWidth="1" min="15" max="15"/>
  </cols>
  <sheetData>
    <row r="1" ht="40" customHeight="1">
      <c r="A1" s="2" t="inlineStr">
        <is>
          <t>🏠 Dashboard</t>
        </is>
      </c>
    </row>
    <row r="2" ht="30" customHeight="1">
      <c r="A2" s="3">
        <f>"Welcome back, "&amp;'START HERE'!B5&amp;"! Here is your financial snapshot for "&amp;'START HERE'!B7&amp;"."</f>
        <v/>
      </c>
    </row>
    <row r="3">
      <c r="A3" s="4">
        <f>"📊 THIS MONTH AT A GLANCE — "&amp;TEXT(TODAY(),"MMMM YYYY")</f>
        <v/>
      </c>
    </row>
    <row r="4" ht="20" customHeight="1">
      <c r="A4" s="5" t="inlineStr">
        <is>
          <t>💰 Income This Month</t>
        </is>
      </c>
      <c r="C4" s="5" t="inlineStr">
        <is>
          <t>💸 Expenses This Month</t>
        </is>
      </c>
      <c r="E4" s="5" t="inlineStr">
        <is>
          <t>📈 Net This Month</t>
        </is>
      </c>
      <c r="G4" s="5" t="inlineStr">
        <is>
          <t>🎯 Savings Rate</t>
        </is>
      </c>
      <c r="J4" t="inlineStr">
        <is>
          <t>Housing</t>
        </is>
      </c>
      <c r="K4">
        <f>SUMIFS('Expense Tracker'!E4:E503,'Expense Tracker'!C4:C503,J4,'Expense Tracker'!L4:L503,MONTH(TODAY()),'Expense Tracker'!M4:M503,YEAR(TODAY()))</f>
        <v/>
      </c>
      <c r="L4">
        <f>IF('Bills Calendar'!G4="Yes",9999,'Bills Calendar'!I4)</f>
        <v/>
      </c>
      <c r="N4">
        <f>IFERROR(IF(SMALL($L$4:$L$18,1)&gt;=9999,0,MATCH(SMALL($L$4:$L$18,1),$L$4:$L$18,0)),0)</f>
        <v/>
      </c>
      <c r="O4">
        <f>IFERROR(MATCH(LARGE('Expense Tracker'!$A$4:$A$503,1),'Expense Tracker'!$A$4:$A$503,0),0)</f>
        <v/>
      </c>
    </row>
    <row r="5" ht="32" customHeight="1">
      <c r="A5" s="6">
        <f>SUMIFS('Income Tracker'!G4:G103,'Income Tracker'!J4:J103,MONTH(TODAY()),'Income Tracker'!K4:K103,YEAR(TODAY()))</f>
        <v/>
      </c>
      <c r="C5" s="6">
        <f>SUMIFS('Expense Tracker'!E4:E503,'Expense Tracker'!L4:L503,MONTH(TODAY()),'Expense Tracker'!M4:M503,YEAR(TODAY()))</f>
        <v/>
      </c>
      <c r="E5" s="6">
        <f>A5-C5</f>
        <v/>
      </c>
      <c r="G5" s="7">
        <f>IFERROR(E5/A5,0)</f>
        <v/>
      </c>
      <c r="J5" t="inlineStr">
        <is>
          <t>Food &amp; Dining</t>
        </is>
      </c>
      <c r="K5">
        <f>SUMIFS('Expense Tracker'!E4:E503,'Expense Tracker'!C4:C503,J5,'Expense Tracker'!L4:L503,MONTH(TODAY()),'Expense Tracker'!M4:M503,YEAR(TODAY()))</f>
        <v/>
      </c>
      <c r="L5">
        <f>IF('Bills Calendar'!G5="Yes",9999,'Bills Calendar'!I5)</f>
        <v/>
      </c>
      <c r="N5">
        <f>IFERROR(IF(SMALL($L$4:$L$18,2)&gt;=9999,0,MATCH(SMALL($L$4:$L$18,2),$L$4:$L$18,0)),0)</f>
        <v/>
      </c>
      <c r="O5">
        <f>IFERROR(MATCH(LARGE('Expense Tracker'!$A$4:$A$503,2),'Expense Tracker'!$A$4:$A$503,0),0)</f>
        <v/>
      </c>
    </row>
    <row r="6" ht="20" customHeight="1">
      <c r="A6" s="5" t="inlineStr">
        <is>
          <t>💳 Total Debt</t>
        </is>
      </c>
      <c r="C6" s="5" t="inlineStr">
        <is>
          <t>🏆 Total Saved (Goals)</t>
        </is>
      </c>
      <c r="E6" s="5" t="inlineStr">
        <is>
          <t>📅 Bills Due This Month</t>
        </is>
      </c>
      <c r="G6" s="5" t="inlineStr">
        <is>
          <t>🔔 Unpaid Bills</t>
        </is>
      </c>
      <c r="J6" t="inlineStr">
        <is>
          <t>Transportation</t>
        </is>
      </c>
      <c r="K6">
        <f>SUMIFS('Expense Tracker'!E4:E503,'Expense Tracker'!C4:C503,J6,'Expense Tracker'!L4:L503,MONTH(TODAY()),'Expense Tracker'!M4:M503,YEAR(TODAY()))</f>
        <v/>
      </c>
      <c r="L6">
        <f>IF('Bills Calendar'!G6="Yes",9999,'Bills Calendar'!I6)</f>
        <v/>
      </c>
      <c r="N6">
        <f>IFERROR(IF(SMALL($L$4:$L$18,3)&gt;=9999,0,MATCH(SMALL($L$4:$L$18,3),$L$4:$L$18,0)),0)</f>
        <v/>
      </c>
      <c r="O6">
        <f>IFERROR(MATCH(LARGE('Expense Tracker'!$A$4:$A$503,3),'Expense Tracker'!$A$4:$A$503,0),0)</f>
        <v/>
      </c>
    </row>
    <row r="7" ht="32" customHeight="1">
      <c r="A7" s="6">
        <f>SUM('Debt Tracker'!D4:D7)</f>
        <v/>
      </c>
      <c r="C7" s="6">
        <f>'Savings Goals'!B36</f>
        <v/>
      </c>
      <c r="E7" s="6">
        <f>SUM('Bills Calendar'!D4:D18)</f>
        <v/>
      </c>
      <c r="G7" s="8">
        <f>COUNTIF('Bills Calendar'!G4:G18,"No")</f>
        <v/>
      </c>
      <c r="J7" t="inlineStr">
        <is>
          <t>Entertainment</t>
        </is>
      </c>
      <c r="K7">
        <f>SUMIFS('Expense Tracker'!E4:E503,'Expense Tracker'!C4:C503,J7,'Expense Tracker'!L4:L503,MONTH(TODAY()),'Expense Tracker'!M4:M503,YEAR(TODAY()))</f>
        <v/>
      </c>
      <c r="L7">
        <f>IF('Bills Calendar'!G7="Yes",9999,'Bills Calendar'!I7)</f>
        <v/>
      </c>
      <c r="N7">
        <f>IFERROR(IF(SMALL($L$4:$L$18,4)&gt;=9999,0,MATCH(SMALL($L$4:$L$18,4),$L$4:$L$18,0)),0)</f>
        <v/>
      </c>
      <c r="O7">
        <f>IFERROR(MATCH(LARGE('Expense Tracker'!$A$4:$A$503,4),'Expense Tracker'!$A$4:$A$503,0),0)</f>
        <v/>
      </c>
    </row>
    <row r="8" ht="8" customHeight="1">
      <c r="J8" t="inlineStr">
        <is>
          <t>Shopping</t>
        </is>
      </c>
      <c r="K8">
        <f>SUMIFS('Expense Tracker'!E4:E503,'Expense Tracker'!C4:C503,J8,'Expense Tracker'!L4:L503,MONTH(TODAY()),'Expense Tracker'!M4:M503,YEAR(TODAY()))</f>
        <v/>
      </c>
      <c r="L8">
        <f>IF('Bills Calendar'!G8="Yes",9999,'Bills Calendar'!I8)</f>
        <v/>
      </c>
      <c r="O8">
        <f>IFERROR(MATCH(LARGE('Expense Tracker'!$A$4:$A$503,5),'Expense Tracker'!$A$4:$A$503,0),0)</f>
        <v/>
      </c>
    </row>
    <row r="9">
      <c r="A9" s="4" t="inlineStr">
        <is>
          <t>📊 SPENDING BY CATEGORY (THIS MONTH)</t>
        </is>
      </c>
      <c r="E9" s="4" t="inlineStr">
        <is>
          <t>🎯 SAVINGS GOALS PROGRESS</t>
        </is>
      </c>
      <c r="J9" t="inlineStr">
        <is>
          <t>Healthcare</t>
        </is>
      </c>
      <c r="K9">
        <f>SUMIFS('Expense Tracker'!E4:E503,'Expense Tracker'!C4:C503,J9,'Expense Tracker'!L4:L503,MONTH(TODAY()),'Expense Tracker'!M4:M503,YEAR(TODAY()))</f>
        <v/>
      </c>
      <c r="L9">
        <f>IF('Bills Calendar'!G9="Yes",9999,'Bills Calendar'!I9)</f>
        <v/>
      </c>
    </row>
    <row r="10">
      <c r="A10" s="9">
        <f>IF(B10&lt;=0,"—",INDEX($J$4:$J$21,MATCH(B10,$K$4:$K$21,0)))</f>
        <v/>
      </c>
      <c r="B10" s="10">
        <f>LARGE($K$4:$K$21,1)</f>
        <v/>
      </c>
      <c r="C10" s="11">
        <f>REPT("█",ROUND((IFERROR(MIN(B10/INDEX('Monthly Budget'!E4:E103,MATCH(A10,'Monthly Budget'!B4:B103,0)),1),0))*20,0))&amp;REPT("░",20-ROUND((IFERROR(MIN(B10/INDEX('Monthly Budget'!E4:E103,MATCH(A10,'Monthly Budget'!B4:B103,0)),1),0))*20,0))&amp;" "&amp;TEXT(IFERROR(MIN(B10/INDEX('Monthly Budget'!E4:E103,MATCH(A10,'Monthly Budget'!B4:B103,0)),1),0),"0%")</f>
        <v/>
      </c>
      <c r="D10" s="9" t="n"/>
      <c r="E10" s="9">
        <f>'Savings Goals'!A4</f>
        <v/>
      </c>
      <c r="F10" s="9">
        <f>TEXT('Savings Goals'!B5,"$#,##0")&amp;" / "&amp;TEXT('Savings Goals'!F4,"$#,##0")</f>
        <v/>
      </c>
      <c r="G10" s="11">
        <f>'Savings Goals'!A6</f>
        <v/>
      </c>
      <c r="H10" s="9" t="n"/>
      <c r="J10" t="inlineStr">
        <is>
          <t>Utilities</t>
        </is>
      </c>
      <c r="K10">
        <f>SUMIFS('Expense Tracker'!E4:E503,'Expense Tracker'!C4:C503,J10,'Expense Tracker'!L4:L503,MONTH(TODAY()),'Expense Tracker'!M4:M503,YEAR(TODAY()))</f>
        <v/>
      </c>
      <c r="L10">
        <f>IF('Bills Calendar'!G10="Yes",9999,'Bills Calendar'!I10)</f>
        <v/>
      </c>
    </row>
    <row r="11">
      <c r="A11" s="12">
        <f>IF(B11&lt;=0,"—",INDEX($J$4:$J$21,MATCH(B11,$K$4:$K$21,0)))</f>
        <v/>
      </c>
      <c r="B11" s="13">
        <f>LARGE($K$4:$K$21,2)</f>
        <v/>
      </c>
      <c r="C11" s="14">
        <f>REPT("█",ROUND((IFERROR(MIN(B11/INDEX('Monthly Budget'!E4:E103,MATCH(A11,'Monthly Budget'!B4:B103,0)),1),0))*20,0))&amp;REPT("░",20-ROUND((IFERROR(MIN(B11/INDEX('Monthly Budget'!E4:E103,MATCH(A11,'Monthly Budget'!B4:B103,0)),1),0))*20,0))&amp;" "&amp;TEXT(IFERROR(MIN(B11/INDEX('Monthly Budget'!E4:E103,MATCH(A11,'Monthly Budget'!B4:B103,0)),1),0),"0%")</f>
        <v/>
      </c>
      <c r="D11" s="12" t="n"/>
      <c r="E11" s="12">
        <f>'Savings Goals'!A9</f>
        <v/>
      </c>
      <c r="F11" s="12">
        <f>TEXT('Savings Goals'!B10,"$#,##0")&amp;" / "&amp;TEXT('Savings Goals'!F9,"$#,##0")</f>
        <v/>
      </c>
      <c r="G11" s="14">
        <f>'Savings Goals'!A11</f>
        <v/>
      </c>
      <c r="H11" s="12" t="n"/>
      <c r="J11" t="inlineStr">
        <is>
          <t>Education</t>
        </is>
      </c>
      <c r="K11">
        <f>SUMIFS('Expense Tracker'!E4:E503,'Expense Tracker'!C4:C503,J11,'Expense Tracker'!L4:L503,MONTH(TODAY()),'Expense Tracker'!M4:M503,YEAR(TODAY()))</f>
        <v/>
      </c>
      <c r="L11">
        <f>IF('Bills Calendar'!G11="Yes",9999,'Bills Calendar'!I11)</f>
        <v/>
      </c>
    </row>
    <row r="12">
      <c r="A12" s="9">
        <f>IF(B12&lt;=0,"—",INDEX($J$4:$J$21,MATCH(B12,$K$4:$K$21,0)))</f>
        <v/>
      </c>
      <c r="B12" s="10">
        <f>LARGE($K$4:$K$21,3)</f>
        <v/>
      </c>
      <c r="C12" s="11">
        <f>REPT("█",ROUND((IFERROR(MIN(B12/INDEX('Monthly Budget'!E4:E103,MATCH(A12,'Monthly Budget'!B4:B103,0)),1),0))*20,0))&amp;REPT("░",20-ROUND((IFERROR(MIN(B12/INDEX('Monthly Budget'!E4:E103,MATCH(A12,'Monthly Budget'!B4:B103,0)),1),0))*20,0))&amp;" "&amp;TEXT(IFERROR(MIN(B12/INDEX('Monthly Budget'!E4:E103,MATCH(A12,'Monthly Budget'!B4:B103,0)),1),0),"0%")</f>
        <v/>
      </c>
      <c r="D12" s="9" t="n"/>
      <c r="E12" s="9">
        <f>'Savings Goals'!A14</f>
        <v/>
      </c>
      <c r="F12" s="9">
        <f>TEXT('Savings Goals'!B15,"$#,##0")&amp;" / "&amp;TEXT('Savings Goals'!F14,"$#,##0")</f>
        <v/>
      </c>
      <c r="G12" s="11">
        <f>'Savings Goals'!A16</f>
        <v/>
      </c>
      <c r="H12" s="9" t="n"/>
      <c r="J12" t="inlineStr">
        <is>
          <t>Personal Care</t>
        </is>
      </c>
      <c r="K12">
        <f>SUMIFS('Expense Tracker'!E4:E503,'Expense Tracker'!C4:C503,J12,'Expense Tracker'!L4:L503,MONTH(TODAY()),'Expense Tracker'!M4:M503,YEAR(TODAY()))</f>
        <v/>
      </c>
      <c r="L12">
        <f>IF('Bills Calendar'!G12="Yes",9999,'Bills Calendar'!I12)</f>
        <v/>
      </c>
    </row>
    <row r="13">
      <c r="A13" s="12">
        <f>IF(B13&lt;=0,"—",INDEX($J$4:$J$21,MATCH(B13,$K$4:$K$21,0)))</f>
        <v/>
      </c>
      <c r="B13" s="13">
        <f>LARGE($K$4:$K$21,4)</f>
        <v/>
      </c>
      <c r="C13" s="14">
        <f>REPT("█",ROUND((IFERROR(MIN(B13/INDEX('Monthly Budget'!E4:E103,MATCH(A13,'Monthly Budget'!B4:B103,0)),1),0))*20,0))&amp;REPT("░",20-ROUND((IFERROR(MIN(B13/INDEX('Monthly Budget'!E4:E103,MATCH(A13,'Monthly Budget'!B4:B103,0)),1),0))*20,0))&amp;" "&amp;TEXT(IFERROR(MIN(B13/INDEX('Monthly Budget'!E4:E103,MATCH(A13,'Monthly Budget'!B4:B103,0)),1),0),"0%")</f>
        <v/>
      </c>
      <c r="D13" s="12" t="n"/>
      <c r="E13" s="12">
        <f>'Savings Goals'!A19</f>
        <v/>
      </c>
      <c r="F13" s="12">
        <f>TEXT('Savings Goals'!B20,"$#,##0")&amp;" / "&amp;TEXT('Savings Goals'!F19,"$#,##0")</f>
        <v/>
      </c>
      <c r="G13" s="14">
        <f>'Savings Goals'!A21</f>
        <v/>
      </c>
      <c r="H13" s="12" t="n"/>
      <c r="J13" t="inlineStr">
        <is>
          <t>Savings</t>
        </is>
      </c>
      <c r="K13">
        <f>SUMIFS('Expense Tracker'!E4:E503,'Expense Tracker'!C4:C503,J13,'Expense Tracker'!L4:L503,MONTH(TODAY()),'Expense Tracker'!M4:M503,YEAR(TODAY()))</f>
        <v/>
      </c>
      <c r="L13">
        <f>IF('Bills Calendar'!G13="Yes",9999,'Bills Calendar'!I13)</f>
        <v/>
      </c>
    </row>
    <row r="14">
      <c r="A14" s="9">
        <f>IF(B14&lt;=0,"—",INDEX($J$4:$J$21,MATCH(B14,$K$4:$K$21,0)))</f>
        <v/>
      </c>
      <c r="B14" s="10">
        <f>LARGE($K$4:$K$21,5)</f>
        <v/>
      </c>
      <c r="C14" s="11">
        <f>REPT("█",ROUND((IFERROR(MIN(B14/INDEX('Monthly Budget'!E4:E103,MATCH(A14,'Monthly Budget'!B4:B103,0)),1),0))*20,0))&amp;REPT("░",20-ROUND((IFERROR(MIN(B14/INDEX('Monthly Budget'!E4:E103,MATCH(A14,'Monthly Budget'!B4:B103,0)),1),0))*20,0))&amp;" "&amp;TEXT(IFERROR(MIN(B14/INDEX('Monthly Budget'!E4:E103,MATCH(A14,'Monthly Budget'!B4:B103,0)),1),0),"0%")</f>
        <v/>
      </c>
      <c r="D14" s="9" t="n"/>
      <c r="E14" s="9">
        <f>'Savings Goals'!A24</f>
        <v/>
      </c>
      <c r="F14" s="9">
        <f>TEXT('Savings Goals'!B25,"$#,##0")&amp;" / "&amp;TEXT('Savings Goals'!F24,"$#,##0")</f>
        <v/>
      </c>
      <c r="G14" s="11">
        <f>'Savings Goals'!A26</f>
        <v/>
      </c>
      <c r="H14" s="9" t="n"/>
      <c r="J14" t="inlineStr">
        <is>
          <t>Investments</t>
        </is>
      </c>
      <c r="K14">
        <f>SUMIFS('Expense Tracker'!E4:E503,'Expense Tracker'!C4:C503,J14,'Expense Tracker'!L4:L503,MONTH(TODAY()),'Expense Tracker'!M4:M503,YEAR(TODAY()))</f>
        <v/>
      </c>
      <c r="L14">
        <f>IF('Bills Calendar'!G14="Yes",9999,'Bills Calendar'!I14)</f>
        <v/>
      </c>
    </row>
    <row r="15">
      <c r="A15" s="12">
        <f>IF(B15&lt;=0,"—",INDEX($J$4:$J$21,MATCH(B15,$K$4:$K$21,0)))</f>
        <v/>
      </c>
      <c r="B15" s="13">
        <f>LARGE($K$4:$K$21,6)</f>
        <v/>
      </c>
      <c r="C15" s="14">
        <f>REPT("█",ROUND((IFERROR(MIN(B15/INDEX('Monthly Budget'!E4:E103,MATCH(A15,'Monthly Budget'!B4:B103,0)),1),0))*20,0))&amp;REPT("░",20-ROUND((IFERROR(MIN(B15/INDEX('Monthly Budget'!E4:E103,MATCH(A15,'Monthly Budget'!B4:B103,0)),1),0))*20,0))&amp;" "&amp;TEXT(IFERROR(MIN(B15/INDEX('Monthly Budget'!E4:E103,MATCH(A15,'Monthly Budget'!B4:B103,0)),1),0),"0%")</f>
        <v/>
      </c>
      <c r="D15" s="12" t="n"/>
      <c r="E15" s="12">
        <f>'Savings Goals'!A29</f>
        <v/>
      </c>
      <c r="F15" s="12">
        <f>TEXT('Savings Goals'!B30,"$#,##0")&amp;" / "&amp;TEXT('Savings Goals'!F29,"$#,##0")</f>
        <v/>
      </c>
      <c r="G15" s="14">
        <f>'Savings Goals'!A31</f>
        <v/>
      </c>
      <c r="H15" s="12" t="n"/>
      <c r="J15" t="inlineStr">
        <is>
          <t>Debt Payment</t>
        </is>
      </c>
      <c r="K15">
        <f>SUMIFS('Expense Tracker'!E4:E503,'Expense Tracker'!C4:C503,J15,'Expense Tracker'!L4:L503,MONTH(TODAY()),'Expense Tracker'!M4:M503,YEAR(TODAY()))</f>
        <v/>
      </c>
      <c r="L15">
        <f>IF('Bills Calendar'!G15="Yes",9999,'Bills Calendar'!I15)</f>
        <v/>
      </c>
    </row>
    <row r="16" ht="8" customHeight="1">
      <c r="J16" t="inlineStr">
        <is>
          <t>Kids</t>
        </is>
      </c>
      <c r="K16">
        <f>SUMIFS('Expense Tracker'!E4:E503,'Expense Tracker'!C4:C503,J16,'Expense Tracker'!L4:L503,MONTH(TODAY()),'Expense Tracker'!M4:M503,YEAR(TODAY()))</f>
        <v/>
      </c>
      <c r="L16">
        <f>IF('Bills Calendar'!G16="Yes",9999,'Bills Calendar'!I16)</f>
        <v/>
      </c>
    </row>
    <row r="17">
      <c r="A17" s="4" t="inlineStr">
        <is>
          <t>💳 DEBT SNAPSHOT</t>
        </is>
      </c>
      <c r="E17" s="4" t="inlineStr">
        <is>
          <t>📅 UPCOMING BILLS</t>
        </is>
      </c>
      <c r="J17" t="inlineStr">
        <is>
          <t>Pets</t>
        </is>
      </c>
      <c r="K17">
        <f>SUMIFS('Expense Tracker'!E4:E503,'Expense Tracker'!C4:C503,J17,'Expense Tracker'!L4:L503,MONTH(TODAY()),'Expense Tracker'!M4:M503,YEAR(TODAY()))</f>
        <v/>
      </c>
      <c r="L17">
        <f>IF('Bills Calendar'!G17="Yes",9999,'Bills Calendar'!I17)</f>
        <v/>
      </c>
    </row>
    <row r="18">
      <c r="A18" s="9">
        <f>'Debt Tracker'!A4</f>
        <v/>
      </c>
      <c r="B18" s="10">
        <f>'Debt Tracker'!D4</f>
        <v/>
      </c>
      <c r="C18" s="11">
        <f>'Debt Tracker'!M4</f>
        <v/>
      </c>
      <c r="D18" s="9" t="n"/>
      <c r="E18" s="9">
        <f>IF(N4=0,"🎉 All bills paid!",INDEX('Bills Calendar'!$A$4:$A$18,N4)&amp;" — "&amp;TEXT(INDEX('Bills Calendar'!$H$4:$H$18,N4),"MMM D"))</f>
        <v/>
      </c>
      <c r="F18" s="10">
        <f>IF(N4=0,"",INDEX('Bills Calendar'!$D$4:$D$18,N4))</f>
        <v/>
      </c>
      <c r="G18" s="9">
        <f>IF(N4=0,"",INDEX('Bills Calendar'!$L$4:$L$18,N4))</f>
        <v/>
      </c>
      <c r="H18" s="9" t="n"/>
      <c r="J18" t="inlineStr">
        <is>
          <t>Travel</t>
        </is>
      </c>
      <c r="K18">
        <f>SUMIFS('Expense Tracker'!E4:E503,'Expense Tracker'!C4:C503,J18,'Expense Tracker'!L4:L503,MONTH(TODAY()),'Expense Tracker'!M4:M503,YEAR(TODAY()))</f>
        <v/>
      </c>
      <c r="L18">
        <f>IF('Bills Calendar'!G18="Yes",9999,'Bills Calendar'!I18)</f>
        <v/>
      </c>
    </row>
    <row r="19">
      <c r="A19" s="12">
        <f>'Debt Tracker'!A5</f>
        <v/>
      </c>
      <c r="B19" s="13">
        <f>'Debt Tracker'!D5</f>
        <v/>
      </c>
      <c r="C19" s="14">
        <f>'Debt Tracker'!M5</f>
        <v/>
      </c>
      <c r="D19" s="12" t="n"/>
      <c r="E19" s="12">
        <f>IF(N5=0,"🎉 All bills paid!",INDEX('Bills Calendar'!$A$4:$A$18,N5)&amp;" — "&amp;TEXT(INDEX('Bills Calendar'!$H$4:$H$18,N5),"MMM D"))</f>
        <v/>
      </c>
      <c r="F19" s="13">
        <f>IF(N5=0,"",INDEX('Bills Calendar'!$D$4:$D$18,N5))</f>
        <v/>
      </c>
      <c r="G19" s="12">
        <f>IF(N5=0,"",INDEX('Bills Calendar'!$L$4:$L$18,N5))</f>
        <v/>
      </c>
      <c r="H19" s="12" t="n"/>
      <c r="J19" t="inlineStr">
        <is>
          <t>Subscriptions</t>
        </is>
      </c>
      <c r="K19">
        <f>SUMIFS('Expense Tracker'!E4:E503,'Expense Tracker'!C4:C503,J19,'Expense Tracker'!L4:L503,MONTH(TODAY()),'Expense Tracker'!M4:M503,YEAR(TODAY()))</f>
        <v/>
      </c>
    </row>
    <row r="20">
      <c r="A20" s="9">
        <f>'Debt Tracker'!A6</f>
        <v/>
      </c>
      <c r="B20" s="10">
        <f>'Debt Tracker'!D6</f>
        <v/>
      </c>
      <c r="C20" s="11">
        <f>'Debt Tracker'!M6</f>
        <v/>
      </c>
      <c r="D20" s="9" t="n"/>
      <c r="E20" s="9">
        <f>IF(N6=0,"🎉 All bills paid!",INDEX('Bills Calendar'!$A$4:$A$18,N6)&amp;" — "&amp;TEXT(INDEX('Bills Calendar'!$H$4:$H$18,N6),"MMM D"))</f>
        <v/>
      </c>
      <c r="F20" s="10">
        <f>IF(N6=0,"",INDEX('Bills Calendar'!$D$4:$D$18,N6))</f>
        <v/>
      </c>
      <c r="G20" s="9">
        <f>IF(N6=0,"",INDEX('Bills Calendar'!$L$4:$L$18,N6))</f>
        <v/>
      </c>
      <c r="H20" s="9" t="n"/>
      <c r="J20" t="inlineStr">
        <is>
          <t>Insurance</t>
        </is>
      </c>
      <c r="K20">
        <f>SUMIFS('Expense Tracker'!E4:E503,'Expense Tracker'!C4:C503,J20,'Expense Tracker'!L4:L503,MONTH(TODAY()),'Expense Tracker'!M4:M503,YEAR(TODAY()))</f>
        <v/>
      </c>
    </row>
    <row r="21">
      <c r="A21" s="12">
        <f>'Debt Tracker'!A7</f>
        <v/>
      </c>
      <c r="B21" s="13">
        <f>'Debt Tracker'!D7</f>
        <v/>
      </c>
      <c r="C21" s="14">
        <f>'Debt Tracker'!M7</f>
        <v/>
      </c>
      <c r="D21" s="12" t="n"/>
      <c r="E21" s="12">
        <f>IF(N7=0,"🎉 All bills paid!",INDEX('Bills Calendar'!$A$4:$A$18,N7)&amp;" — "&amp;TEXT(INDEX('Bills Calendar'!$H$4:$H$18,N7),"MMM D"))</f>
        <v/>
      </c>
      <c r="F21" s="13">
        <f>IF(N7=0,"",INDEX('Bills Calendar'!$D$4:$D$18,N7))</f>
        <v/>
      </c>
      <c r="G21" s="12">
        <f>IF(N7=0,"",INDEX('Bills Calendar'!$L$4:$L$18,N7))</f>
        <v/>
      </c>
      <c r="H21" s="12" t="n"/>
      <c r="J21" t="inlineStr">
        <is>
          <t>Other</t>
        </is>
      </c>
      <c r="K21">
        <f>SUMIFS('Expense Tracker'!E4:E503,'Expense Tracker'!C4:C503,J21,'Expense Tracker'!L4:L503,MONTH(TODAY()),'Expense Tracker'!M4:M503,YEAR(TODAY()))</f>
        <v/>
      </c>
    </row>
    <row r="22">
      <c r="A22" s="15" t="inlineStr">
        <is>
          <t>Total Debt</t>
        </is>
      </c>
      <c r="B22" s="16">
        <f>SUM('Debt Tracker'!D4:D7)</f>
        <v/>
      </c>
      <c r="C22" s="17">
        <f>REPT("█",ROUND((IFERROR((SUM('Debt Tracker'!C4:C7)-SUM('Debt Tracker'!D4:D7))/SUM('Debt Tracker'!C4:C7),0))*20,0))&amp;REPT("░",20-ROUND((IFERROR((SUM('Debt Tracker'!C4:C7)-SUM('Debt Tracker'!D4:D7))/SUM('Debt Tracker'!C4:C7),0))*20,0))&amp;" "&amp;TEXT(IFERROR((SUM('Debt Tracker'!C4:C7)-SUM('Debt Tracker'!D4:D7))/SUM('Debt Tracker'!C4:C7),0),"0%")</f>
        <v/>
      </c>
      <c r="D22" s="12" t="n"/>
    </row>
    <row r="23" ht="8" customHeight="1"/>
    <row r="24">
      <c r="A24" s="4" t="inlineStr">
        <is>
          <t>🧾 RECENT EXPENSES</t>
        </is>
      </c>
    </row>
    <row r="25">
      <c r="A25" s="1" t="inlineStr">
        <is>
          <t>Date</t>
        </is>
      </c>
      <c r="B25" s="1" t="inlineStr">
        <is>
          <t>Merchant</t>
        </is>
      </c>
      <c r="D25" s="1" t="inlineStr">
        <is>
          <t>Category</t>
        </is>
      </c>
      <c r="F25" s="1" t="inlineStr">
        <is>
          <t>Need/Want</t>
        </is>
      </c>
      <c r="G25" s="1" t="inlineStr">
        <is>
          <t>Amount</t>
        </is>
      </c>
    </row>
    <row r="26">
      <c r="A26" s="18">
        <f>IF(O4=0,"",INDEX('Expense Tracker'!$A$4:$A$503,O4))</f>
        <v/>
      </c>
      <c r="B26" s="9">
        <f>IF(O4=0,"",INDEX('Expense Tracker'!$B$4:$B$503,O4))</f>
        <v/>
      </c>
      <c r="C26" s="9" t="n"/>
      <c r="D26" s="9">
        <f>IF(O4=0,"",INDEX('Expense Tracker'!$C$4:$C$503,O4))</f>
        <v/>
      </c>
      <c r="E26" s="9" t="n"/>
      <c r="F26" s="9">
        <f>IF(O4=0,"",INDEX('Expense Tracker'!$G$4:$G$503,O4))</f>
        <v/>
      </c>
      <c r="G26" s="10">
        <f>IF(O4=0,"",INDEX('Expense Tracker'!$E$4:$E$503,O4))</f>
        <v/>
      </c>
      <c r="H26" s="9" t="n"/>
    </row>
    <row r="27">
      <c r="A27" s="19">
        <f>IF(O5=0,"",INDEX('Expense Tracker'!$A$4:$A$503,O5))</f>
        <v/>
      </c>
      <c r="B27" s="12">
        <f>IF(O5=0,"",INDEX('Expense Tracker'!$B$4:$B$503,O5))</f>
        <v/>
      </c>
      <c r="C27" s="12" t="n"/>
      <c r="D27" s="12">
        <f>IF(O5=0,"",INDEX('Expense Tracker'!$C$4:$C$503,O5))</f>
        <v/>
      </c>
      <c r="E27" s="12" t="n"/>
      <c r="F27" s="12">
        <f>IF(O5=0,"",INDEX('Expense Tracker'!$G$4:$G$503,O5))</f>
        <v/>
      </c>
      <c r="G27" s="13">
        <f>IF(O5=0,"",INDEX('Expense Tracker'!$E$4:$E$503,O5))</f>
        <v/>
      </c>
      <c r="H27" s="12" t="n"/>
    </row>
    <row r="28">
      <c r="A28" s="18">
        <f>IF(O6=0,"",INDEX('Expense Tracker'!$A$4:$A$503,O6))</f>
        <v/>
      </c>
      <c r="B28" s="9">
        <f>IF(O6=0,"",INDEX('Expense Tracker'!$B$4:$B$503,O6))</f>
        <v/>
      </c>
      <c r="C28" s="9" t="n"/>
      <c r="D28" s="9">
        <f>IF(O6=0,"",INDEX('Expense Tracker'!$C$4:$C$503,O6))</f>
        <v/>
      </c>
      <c r="E28" s="9" t="n"/>
      <c r="F28" s="9">
        <f>IF(O6=0,"",INDEX('Expense Tracker'!$G$4:$G$503,O6))</f>
        <v/>
      </c>
      <c r="G28" s="10">
        <f>IF(O6=0,"",INDEX('Expense Tracker'!$E$4:$E$503,O6))</f>
        <v/>
      </c>
      <c r="H28" s="9" t="n"/>
    </row>
    <row r="29">
      <c r="A29" s="19">
        <f>IF(O7=0,"",INDEX('Expense Tracker'!$A$4:$A$503,O7))</f>
        <v/>
      </c>
      <c r="B29" s="12">
        <f>IF(O7=0,"",INDEX('Expense Tracker'!$B$4:$B$503,O7))</f>
        <v/>
      </c>
      <c r="C29" s="12" t="n"/>
      <c r="D29" s="12">
        <f>IF(O7=0,"",INDEX('Expense Tracker'!$C$4:$C$503,O7))</f>
        <v/>
      </c>
      <c r="E29" s="12" t="n"/>
      <c r="F29" s="12">
        <f>IF(O7=0,"",INDEX('Expense Tracker'!$G$4:$G$503,O7))</f>
        <v/>
      </c>
      <c r="G29" s="13">
        <f>IF(O7=0,"",INDEX('Expense Tracker'!$E$4:$E$503,O7))</f>
        <v/>
      </c>
      <c r="H29" s="12" t="n"/>
    </row>
    <row r="30">
      <c r="A30" s="18">
        <f>IF(O8=0,"",INDEX('Expense Tracker'!$A$4:$A$503,O8))</f>
        <v/>
      </c>
      <c r="B30" s="9">
        <f>IF(O8=0,"",INDEX('Expense Tracker'!$B$4:$B$503,O8))</f>
        <v/>
      </c>
      <c r="C30" s="9" t="n"/>
      <c r="D30" s="9">
        <f>IF(O8=0,"",INDEX('Expense Tracker'!$C$4:$C$503,O8))</f>
        <v/>
      </c>
      <c r="E30" s="9" t="n"/>
      <c r="F30" s="9">
        <f>IF(O8=0,"",INDEX('Expense Tracker'!$G$4:$G$503,O8))</f>
        <v/>
      </c>
      <c r="G30" s="10">
        <f>IF(O8=0,"",INDEX('Expense Tracker'!$E$4:$E$503,O8))</f>
        <v/>
      </c>
      <c r="H30" s="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63">
    <mergeCell ref="G21:H21"/>
    <mergeCell ref="A17:D17"/>
    <mergeCell ref="G12:H12"/>
    <mergeCell ref="C6:D6"/>
    <mergeCell ref="B25:C25"/>
    <mergeCell ref="C15:D15"/>
    <mergeCell ref="A24:H24"/>
    <mergeCell ref="G11:H11"/>
    <mergeCell ref="C5:D5"/>
    <mergeCell ref="G27:H27"/>
    <mergeCell ref="E5:F5"/>
    <mergeCell ref="C14:D14"/>
    <mergeCell ref="A1:H1"/>
    <mergeCell ref="B27:C27"/>
    <mergeCell ref="A6:B6"/>
    <mergeCell ref="C4:D4"/>
    <mergeCell ref="C20:D20"/>
    <mergeCell ref="E4:F4"/>
    <mergeCell ref="A9:D9"/>
    <mergeCell ref="C10:D10"/>
    <mergeCell ref="A7:B7"/>
    <mergeCell ref="G7:H7"/>
    <mergeCell ref="G10:H10"/>
    <mergeCell ref="D27:E27"/>
    <mergeCell ref="G19:H19"/>
    <mergeCell ref="G28:H28"/>
    <mergeCell ref="C22:D22"/>
    <mergeCell ref="G6:H6"/>
    <mergeCell ref="G13:H13"/>
    <mergeCell ref="G18:H18"/>
    <mergeCell ref="C12:D12"/>
    <mergeCell ref="A3:H3"/>
    <mergeCell ref="E6:F6"/>
    <mergeCell ref="E17:H17"/>
    <mergeCell ref="C21:D21"/>
    <mergeCell ref="B29:C29"/>
    <mergeCell ref="G30:H30"/>
    <mergeCell ref="C11:D11"/>
    <mergeCell ref="A2:H2"/>
    <mergeCell ref="G15:H15"/>
    <mergeCell ref="A5:B5"/>
    <mergeCell ref="G5:H5"/>
    <mergeCell ref="B28:C28"/>
    <mergeCell ref="D28:E28"/>
    <mergeCell ref="G14:H14"/>
    <mergeCell ref="G26:H26"/>
    <mergeCell ref="A4:B4"/>
    <mergeCell ref="G4:H4"/>
    <mergeCell ref="D25:E25"/>
    <mergeCell ref="G20:H20"/>
    <mergeCell ref="G29:H29"/>
    <mergeCell ref="E9:H9"/>
    <mergeCell ref="C7:D7"/>
    <mergeCell ref="B26:C26"/>
    <mergeCell ref="B30:C30"/>
    <mergeCell ref="E7:F7"/>
    <mergeCell ref="D30:E30"/>
    <mergeCell ref="D29:E29"/>
    <mergeCell ref="G25:H25"/>
    <mergeCell ref="C19:D19"/>
    <mergeCell ref="C13:D13"/>
    <mergeCell ref="C18:D18"/>
    <mergeCell ref="D26:E26"/>
  </mergeCells>
  <conditionalFormatting sqref="E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5">
    <cfRule type="cellIs" priority="3" operator="greaterThanOrEqual" dxfId="2">
      <formula>0.2</formula>
    </cfRule>
    <cfRule type="cellIs" priority="4" operator="lessThan" dxfId="3">
      <formula>0.1</formula>
    </cfRule>
  </conditionalFormatting>
  <pageMargins left="0.75" right="0.75" top="1" bottom="1" header="0.5" footer="0.5"/>
  <pageSetup orientation="landscape" fitToHeight="0" fitToWidth="1"/>
  <headerFooter>
    <oddHeader>&amp;CUltimate Budget Planner | Dashboard | Page &amp;P</oddHeader>
    <oddFooter>&amp;CGenerated with Budget Planner Pro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</sheetPr>
  <dimension ref="A1:H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2" t="inlineStr">
        <is>
          <t>💚 Ultimate Budget Planner</t>
        </is>
      </c>
    </row>
    <row r="2">
      <c r="A2" s="20" t="inlineStr">
        <is>
          <t>Your complete financial management system</t>
        </is>
      </c>
    </row>
    <row r="4" ht="32" customHeight="1">
      <c r="A4" s="4" t="inlineStr">
        <is>
          <t>⚙️ SETUP — Enter Your Info Here (Only Edit Yellow Cells)</t>
        </is>
      </c>
    </row>
    <row r="5">
      <c r="A5" s="21" t="inlineStr">
        <is>
          <t>Your Name</t>
        </is>
      </c>
      <c r="B5" s="22" t="inlineStr">
        <is>
          <t>Alex Johnson</t>
        </is>
      </c>
      <c r="C5" s="23" t="inlineStr">
        <is>
          <t>Example: Alex Johnson</t>
        </is>
      </c>
    </row>
    <row r="6">
      <c r="A6" s="21" t="inlineStr">
        <is>
          <t>Currency Symbol</t>
        </is>
      </c>
      <c r="B6" s="22" t="inlineStr">
        <is>
          <t>$</t>
        </is>
      </c>
      <c r="C6" s="23" t="inlineStr">
        <is>
          <t>Example: $</t>
        </is>
      </c>
    </row>
    <row r="7">
      <c r="A7" s="21" t="inlineStr">
        <is>
          <t>Current Month</t>
        </is>
      </c>
      <c r="B7" s="22">
        <f>TEXT(TODAY(),"MMMM YYYY")</f>
        <v/>
      </c>
      <c r="C7" s="23" t="inlineStr">
        <is>
          <t>Auto-fills from today's date</t>
        </is>
      </c>
    </row>
    <row r="8">
      <c r="A8" s="21" t="inlineStr">
        <is>
          <t>Monthly Income</t>
        </is>
      </c>
      <c r="B8" s="24" t="n">
        <v>5500</v>
      </c>
      <c r="C8" s="23" t="inlineStr">
        <is>
          <t>Example: 5500</t>
        </is>
      </c>
    </row>
    <row r="9">
      <c r="A9" s="21" t="inlineStr">
        <is>
          <t>Monthly Savings Goal %</t>
        </is>
      </c>
      <c r="B9" s="25" t="n">
        <v>0.2</v>
      </c>
      <c r="C9" s="23" t="inlineStr">
        <is>
          <t>Example: 0.2</t>
        </is>
      </c>
    </row>
    <row r="11" ht="32" customHeight="1">
      <c r="A11" s="4" t="inlineStr">
        <is>
          <t>📖 HOW TO USE THIS PLANNER</t>
        </is>
      </c>
    </row>
    <row r="12">
      <c r="A12" s="26" t="inlineStr">
        <is>
          <t>1.</t>
        </is>
      </c>
      <c r="B12" s="21" t="inlineStr">
        <is>
          <t>Expense Tracker</t>
        </is>
      </c>
      <c r="D12" s="27" t="inlineStr">
        <is>
          <t>Log every expense daily as it happens.</t>
        </is>
      </c>
    </row>
    <row r="13">
      <c r="A13" s="26" t="inlineStr">
        <is>
          <t>2.</t>
        </is>
      </c>
      <c r="B13" s="21" t="inlineStr">
        <is>
          <t>Monthly Budget</t>
        </is>
      </c>
      <c r="D13" s="27" t="inlineStr">
        <is>
          <t>Plan your spending limits for each category.</t>
        </is>
      </c>
    </row>
    <row r="14">
      <c r="A14" s="26" t="inlineStr">
        <is>
          <t>3.</t>
        </is>
      </c>
      <c r="B14" s="21" t="inlineStr">
        <is>
          <t>Dashboard</t>
        </is>
      </c>
      <c r="D14" s="27" t="inlineStr">
        <is>
          <t>Check your progress weekly at a glance.</t>
        </is>
      </c>
    </row>
    <row r="15">
      <c r="A15" s="26" t="inlineStr">
        <is>
          <t>4.</t>
        </is>
      </c>
      <c r="B15" s="21" t="inlineStr">
        <is>
          <t>Savings Goals</t>
        </is>
      </c>
      <c r="D15" s="27" t="inlineStr">
        <is>
          <t>Set and track targets for what matters most.</t>
        </is>
      </c>
    </row>
    <row r="16">
      <c r="A16" s="26" t="inlineStr">
        <is>
          <t>5.</t>
        </is>
      </c>
      <c r="B16" s="21" t="inlineStr">
        <is>
          <t>Bills Calendar</t>
        </is>
      </c>
      <c r="D16" s="27" t="inlineStr">
        <is>
          <t>Track every bill so you never miss a payment.</t>
        </is>
      </c>
    </row>
    <row r="17">
      <c r="A17" s="26" t="inlineStr">
        <is>
          <t>6.</t>
        </is>
      </c>
      <c r="B17" s="21" t="inlineStr">
        <is>
          <t>Income Tracker</t>
        </is>
      </c>
      <c r="D17" s="27" t="inlineStr">
        <is>
          <t>Log all income sources as they arrive.</t>
        </is>
      </c>
    </row>
    <row r="18">
      <c r="A18" s="26" t="inlineStr">
        <is>
          <t>7.</t>
        </is>
      </c>
      <c r="B18" s="21" t="inlineStr">
        <is>
          <t>Debt Tracker</t>
        </is>
      </c>
      <c r="D18" s="27" t="inlineStr">
        <is>
          <t>Plan your debt payoff with avalanche or snowball.</t>
        </is>
      </c>
    </row>
    <row r="19">
      <c r="A19" s="26" t="inlineStr">
        <is>
          <t>8.</t>
        </is>
      </c>
      <c r="B19" s="21" t="inlineStr">
        <is>
          <t>Annual Overview</t>
        </is>
      </c>
      <c r="D19" s="27" t="inlineStr">
        <is>
          <t>Review trends at the end of each month.</t>
        </is>
      </c>
    </row>
    <row r="21" ht="32" customHeight="1">
      <c r="A21" s="4" t="inlineStr">
        <is>
          <t>🗺️ SHEET GUIDE</t>
        </is>
      </c>
    </row>
    <row r="22">
      <c r="A22" s="28" t="inlineStr">
        <is>
          <t>Sheet Name</t>
        </is>
      </c>
      <c r="B22" s="29" t="n"/>
      <c r="C22" s="30" t="inlineStr">
        <is>
          <t>Purpose</t>
        </is>
      </c>
      <c r="D22" s="29" t="n"/>
      <c r="E22" s="29" t="n"/>
      <c r="F22" s="30" t="inlineStr">
        <is>
          <t>Best Used For</t>
        </is>
      </c>
      <c r="G22" s="29" t="n"/>
      <c r="H22" s="31" t="inlineStr">
        <is>
          <t>How Often</t>
        </is>
      </c>
    </row>
    <row r="23">
      <c r="A23" s="32" t="inlineStr">
        <is>
          <t>📊 Dashboard</t>
        </is>
      </c>
      <c r="B23" s="9" t="n"/>
      <c r="C23" s="9" t="inlineStr">
        <is>
          <t>Command center with KPIs and progress</t>
        </is>
      </c>
      <c r="D23" s="9" t="n"/>
      <c r="E23" s="9" t="n"/>
      <c r="F23" s="9" t="inlineStr">
        <is>
          <t>Quick status checks</t>
        </is>
      </c>
      <c r="G23" s="9" t="n"/>
      <c r="H23" s="33" t="inlineStr">
        <is>
          <t>Weekly</t>
        </is>
      </c>
    </row>
    <row r="24">
      <c r="A24" s="34" t="inlineStr">
        <is>
          <t>📅 Monthly Budget</t>
        </is>
      </c>
      <c r="B24" s="12" t="n"/>
      <c r="C24" s="12" t="inlineStr">
        <is>
          <t>Plan and track monthly spending limits</t>
        </is>
      </c>
      <c r="D24" s="12" t="n"/>
      <c r="E24" s="12" t="n"/>
      <c r="F24" s="12" t="inlineStr">
        <is>
          <t>Setting category budgets</t>
        </is>
      </c>
      <c r="G24" s="12" t="n"/>
      <c r="H24" s="35" t="inlineStr">
        <is>
          <t>Monthly</t>
        </is>
      </c>
    </row>
    <row r="25">
      <c r="A25" s="32" t="inlineStr">
        <is>
          <t>📆 Weekly Budget</t>
        </is>
      </c>
      <c r="B25" s="9" t="n"/>
      <c r="C25" s="9" t="inlineStr">
        <is>
          <t>Break the month into 5 weekly views</t>
        </is>
      </c>
      <c r="D25" s="9" t="n"/>
      <c r="E25" s="9" t="n"/>
      <c r="F25" s="9" t="inlineStr">
        <is>
          <t>Tight week-to-week control</t>
        </is>
      </c>
      <c r="G25" s="9" t="n"/>
      <c r="H25" s="33" t="inlineStr">
        <is>
          <t>Weekly</t>
        </is>
      </c>
    </row>
    <row r="26">
      <c r="A26" s="34" t="inlineStr">
        <is>
          <t>💵 Paycheck Budget</t>
        </is>
      </c>
      <c r="B26" s="12" t="n"/>
      <c r="C26" s="12" t="inlineStr">
        <is>
          <t>Allocate each paycheck to categories</t>
        </is>
      </c>
      <c r="D26" s="12" t="n"/>
      <c r="E26" s="12" t="n"/>
      <c r="F26" s="12" t="inlineStr">
        <is>
          <t>Paycheck-to-paycheck planning</t>
        </is>
      </c>
      <c r="G26" s="12" t="n"/>
      <c r="H26" s="35" t="inlineStr">
        <is>
          <t>Per paycheck</t>
        </is>
      </c>
    </row>
    <row r="27">
      <c r="A27" s="32" t="inlineStr">
        <is>
          <t>📋 Biweekly Budget</t>
        </is>
      </c>
      <c r="B27" s="9" t="n"/>
      <c r="C27" s="9" t="inlineStr">
        <is>
          <t>Plan two pay periods per month</t>
        </is>
      </c>
      <c r="D27" s="9" t="n"/>
      <c r="E27" s="9" t="n"/>
      <c r="F27" s="9" t="inlineStr">
        <is>
          <t>Biweekly pay schedules</t>
        </is>
      </c>
      <c r="G27" s="9" t="n"/>
      <c r="H27" s="33" t="inlineStr">
        <is>
          <t>Biweekly</t>
        </is>
      </c>
    </row>
    <row r="28">
      <c r="A28" s="34" t="inlineStr">
        <is>
          <t>💳 Expense Tracker</t>
        </is>
      </c>
      <c r="B28" s="12" t="n"/>
      <c r="C28" s="12" t="inlineStr">
        <is>
          <t>Log every transaction</t>
        </is>
      </c>
      <c r="D28" s="12" t="n"/>
      <c r="E28" s="12" t="n"/>
      <c r="F28" s="12" t="inlineStr">
        <is>
          <t>Daily expense logging</t>
        </is>
      </c>
      <c r="G28" s="12" t="n"/>
      <c r="H28" s="35" t="inlineStr">
        <is>
          <t>Daily</t>
        </is>
      </c>
    </row>
    <row r="29">
      <c r="A29" s="32" t="inlineStr">
        <is>
          <t>💰 Income Tracker</t>
        </is>
      </c>
      <c r="B29" s="9" t="n"/>
      <c r="C29" s="9" t="inlineStr">
        <is>
          <t>Log all income sources</t>
        </is>
      </c>
      <c r="D29" s="9" t="n"/>
      <c r="E29" s="9" t="n"/>
      <c r="F29" s="9" t="inlineStr">
        <is>
          <t>Tracking gross/net income</t>
        </is>
      </c>
      <c r="G29" s="9" t="n"/>
      <c r="H29" s="33" t="inlineStr">
        <is>
          <t>Per income</t>
        </is>
      </c>
    </row>
    <row r="30">
      <c r="A30" s="34" t="inlineStr">
        <is>
          <t>🎯 Savings Goals</t>
        </is>
      </c>
      <c r="B30" s="12" t="n"/>
      <c r="C30" s="12" t="inlineStr">
        <is>
          <t>Track progress toward savings targets</t>
        </is>
      </c>
      <c r="D30" s="12" t="n"/>
      <c r="E30" s="12" t="n"/>
      <c r="F30" s="12" t="inlineStr">
        <is>
          <t>Big purchases &amp; emergency funds</t>
        </is>
      </c>
      <c r="G30" s="12" t="n"/>
      <c r="H30" s="35" t="inlineStr">
        <is>
          <t>Monthly</t>
        </is>
      </c>
    </row>
    <row r="31">
      <c r="A31" s="32" t="inlineStr">
        <is>
          <t>🏦 Debt Tracker</t>
        </is>
      </c>
      <c r="B31" s="9" t="n"/>
      <c r="C31" s="9" t="inlineStr">
        <is>
          <t>Plan and track debt payoff</t>
        </is>
      </c>
      <c r="D31" s="9" t="n"/>
      <c r="E31" s="9" t="n"/>
      <c r="F31" s="9" t="inlineStr">
        <is>
          <t>Paying down loans &amp; cards</t>
        </is>
      </c>
      <c r="G31" s="9" t="n"/>
      <c r="H31" s="33" t="inlineStr">
        <is>
          <t>Monthly</t>
        </is>
      </c>
    </row>
    <row r="32">
      <c r="A32" s="34" t="inlineStr">
        <is>
          <t>🪣 Sinking Funds</t>
        </is>
      </c>
      <c r="B32" s="12" t="n"/>
      <c r="C32" s="12" t="inlineStr">
        <is>
          <t>Save monthly for future expenses</t>
        </is>
      </c>
      <c r="D32" s="12" t="n"/>
      <c r="E32" s="12" t="n"/>
      <c r="F32" s="12" t="inlineStr">
        <is>
          <t>Irregular planned costs</t>
        </is>
      </c>
      <c r="G32" s="12" t="n"/>
      <c r="H32" s="35" t="inlineStr">
        <is>
          <t>Monthly</t>
        </is>
      </c>
    </row>
    <row r="33">
      <c r="A33" s="32" t="inlineStr">
        <is>
          <t>📱 Subscriptions</t>
        </is>
      </c>
      <c r="B33" s="9" t="n"/>
      <c r="C33" s="9" t="inlineStr">
        <is>
          <t>Track recurring subscriptions</t>
        </is>
      </c>
      <c r="D33" s="9" t="n"/>
      <c r="E33" s="9" t="n"/>
      <c r="F33" s="9" t="inlineStr">
        <is>
          <t>Finding what to cancel</t>
        </is>
      </c>
      <c r="G33" s="9" t="n"/>
      <c r="H33" s="33" t="inlineStr">
        <is>
          <t>Monthly</t>
        </is>
      </c>
    </row>
    <row r="34">
      <c r="A34" s="34" t="inlineStr">
        <is>
          <t>📅 Bills Calendar</t>
        </is>
      </c>
      <c r="B34" s="12" t="n"/>
      <c r="C34" s="12" t="inlineStr">
        <is>
          <t>Track due dates for every bill</t>
        </is>
      </c>
      <c r="D34" s="12" t="n"/>
      <c r="E34" s="12" t="n"/>
      <c r="F34" s="12" t="inlineStr">
        <is>
          <t>Never missing a payment</t>
        </is>
      </c>
      <c r="G34" s="12" t="n"/>
      <c r="H34" s="35" t="inlineStr">
        <is>
          <t>Weekly</t>
        </is>
      </c>
    </row>
    <row r="35">
      <c r="A35" s="36" t="inlineStr">
        <is>
          <t>📈 Annual Overview</t>
        </is>
      </c>
      <c r="B35" s="37" t="n"/>
      <c r="C35" s="37" t="inlineStr">
        <is>
          <t>12-month financial summary</t>
        </is>
      </c>
      <c r="D35" s="37" t="n"/>
      <c r="E35" s="37" t="n"/>
      <c r="F35" s="37" t="inlineStr">
        <is>
          <t>Year-end review &amp; trends</t>
        </is>
      </c>
      <c r="G35" s="37" t="n"/>
      <c r="H35" s="38" t="inlineStr">
        <is>
          <t>Monthly</t>
        </is>
      </c>
    </row>
    <row r="37" ht="32" customHeight="1">
      <c r="A37" s="4" t="inlineStr">
        <is>
          <t>⚠️ IMPORTANT TIPS</t>
        </is>
      </c>
    </row>
    <row r="38">
      <c r="A38" s="27" t="inlineStr">
        <is>
          <t>• Only edit cells with a YELLOW background — these are your inputs.</t>
        </is>
      </c>
    </row>
    <row r="39">
      <c r="A39" s="27" t="inlineStr">
        <is>
          <t>• GREEN and WHITE cells contain formulas — do not delete or overwrite them.</t>
        </is>
      </c>
    </row>
    <row r="40">
      <c r="A40" s="27" t="inlineStr">
        <is>
          <t>• Start a new copy of this file each month to keep history clean.</t>
        </is>
      </c>
    </row>
    <row r="41">
      <c r="A41" s="27" t="inlineStr">
        <is>
          <t>• Back up your file to Google Drive weekly.</t>
        </is>
      </c>
    </row>
    <row r="43">
      <c r="A43" s="39" t="inlineStr">
        <is>
          <t>📌 GOOGLE SHEETS USERS:
Go to File → Import → Upload this file → Replace spreadsheet.
Then visit each sheet and add charts using Insert → Chart for a richer view.
📌 EXCEL USERS:
Open directly — all formatting and formulas work natively.</t>
        </is>
      </c>
    </row>
    <row r="44"/>
    <row r="45"/>
    <row r="46"/>
    <row r="47"/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69">
    <mergeCell ref="A24:B24"/>
    <mergeCell ref="B16:C16"/>
    <mergeCell ref="A30:B30"/>
    <mergeCell ref="A39:H39"/>
    <mergeCell ref="A43:H47"/>
    <mergeCell ref="F29:G29"/>
    <mergeCell ref="C31:E31"/>
    <mergeCell ref="F25:G25"/>
    <mergeCell ref="D19:H19"/>
    <mergeCell ref="C22:E22"/>
    <mergeCell ref="F34:G34"/>
    <mergeCell ref="A11:H11"/>
    <mergeCell ref="A1:H1"/>
    <mergeCell ref="B18:C18"/>
    <mergeCell ref="B12:C12"/>
    <mergeCell ref="F24:G24"/>
    <mergeCell ref="C27:E27"/>
    <mergeCell ref="F30:G30"/>
    <mergeCell ref="A25:B25"/>
    <mergeCell ref="C23:E23"/>
    <mergeCell ref="D13:H13"/>
    <mergeCell ref="F33:G33"/>
    <mergeCell ref="A41:H41"/>
    <mergeCell ref="B14:C14"/>
    <mergeCell ref="F32:G32"/>
    <mergeCell ref="B17:C17"/>
    <mergeCell ref="A37:H37"/>
    <mergeCell ref="F26:G26"/>
    <mergeCell ref="A27:B27"/>
    <mergeCell ref="F35:G35"/>
    <mergeCell ref="D17:H17"/>
    <mergeCell ref="C32:E32"/>
    <mergeCell ref="B13:C13"/>
    <mergeCell ref="A26:B26"/>
    <mergeCell ref="A21:H21"/>
    <mergeCell ref="C28:E28"/>
    <mergeCell ref="D16:H16"/>
    <mergeCell ref="B19:C19"/>
    <mergeCell ref="A2:H2"/>
    <mergeCell ref="A33:B33"/>
    <mergeCell ref="F23:G23"/>
    <mergeCell ref="F31:G31"/>
    <mergeCell ref="A32:B32"/>
    <mergeCell ref="F22:G22"/>
    <mergeCell ref="F28:G28"/>
    <mergeCell ref="A23:B23"/>
    <mergeCell ref="C30:E30"/>
    <mergeCell ref="F27:G27"/>
    <mergeCell ref="D18:H18"/>
    <mergeCell ref="C34:E34"/>
    <mergeCell ref="A22:B22"/>
    <mergeCell ref="C24:E24"/>
    <mergeCell ref="A35:B35"/>
    <mergeCell ref="A4:H4"/>
    <mergeCell ref="D12:H12"/>
    <mergeCell ref="C33:E33"/>
    <mergeCell ref="B15:C15"/>
    <mergeCell ref="D15:H15"/>
    <mergeCell ref="A29:B29"/>
    <mergeCell ref="A38:H38"/>
    <mergeCell ref="A28:B28"/>
    <mergeCell ref="C26:E26"/>
    <mergeCell ref="D14:H14"/>
    <mergeCell ref="C29:E29"/>
    <mergeCell ref="A31:B31"/>
    <mergeCell ref="C35:E35"/>
    <mergeCell ref="C25:E25"/>
    <mergeCell ref="A34:B34"/>
    <mergeCell ref="A40:H40"/>
  </mergeCells>
  <pageMargins left="0.75" right="0.75" top="1" bottom="1" header="0.5" footer="0.5"/>
  <pageSetup orientation="landscape" fitToHeight="0" fitToWidth="1"/>
  <headerFooter>
    <oddHeader>&amp;CUltimate Budget Planner | START HERE | Page &amp;P</oddHeader>
    <oddFooter>&amp;CGenerated with Budget Planner Pro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D6A4F"/>
    <outlinePr summaryBelow="1" summaryRight="1"/>
  </sheetPr>
  <dimension ref="A1:K1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5" customWidth="1" min="4" max="4"/>
    <col width="14" customWidth="1" min="5" max="5"/>
    <col width="14" customWidth="1" min="6" max="6"/>
    <col width="14" customWidth="1" min="7" max="7"/>
    <col width="10" customWidth="1" min="8" max="8"/>
    <col width="16" customWidth="1" min="9" max="9"/>
    <col width="25" customWidth="1" min="10" max="10"/>
    <col width="14" customWidth="1" min="11" max="11"/>
  </cols>
  <sheetData>
    <row r="1" ht="40" customHeight="1">
      <c r="A1" s="2" t="inlineStr">
        <is>
          <t>📅 MONTHLY BUDGET PLANNER</t>
        </is>
      </c>
    </row>
    <row r="2" ht="28" customHeight="1">
      <c r="A2" s="40" t="inlineStr">
        <is>
          <t>Total Budgeted</t>
        </is>
      </c>
      <c r="B2" s="41">
        <f>SUM(E4:E103)</f>
        <v/>
      </c>
      <c r="C2" s="40" t="inlineStr">
        <is>
          <t>Total Actual</t>
        </is>
      </c>
      <c r="D2" s="41">
        <f>SUM(F4:F103)</f>
        <v/>
      </c>
      <c r="E2" s="40" t="inlineStr">
        <is>
          <t>Total Saved</t>
        </is>
      </c>
      <c r="F2" s="41">
        <f>B2-D2</f>
        <v/>
      </c>
      <c r="G2" s="42">
        <f>IF(F2&gt;=0,"✅ Under Budget by "&amp;TEXT(F2,"#,##0.00"),"⚠️ Over Budget by "&amp;TEXT(-F2,"#,##0.00"))</f>
        <v/>
      </c>
    </row>
    <row r="3" ht="28" customHeight="1">
      <c r="A3" s="1" t="inlineStr">
        <is>
          <t>Date</t>
        </is>
      </c>
      <c r="B3" s="1" t="inlineStr">
        <is>
          <t>Category</t>
        </is>
      </c>
      <c r="C3" s="1" t="inlineStr">
        <is>
          <t>Subcategory</t>
        </is>
      </c>
      <c r="D3" s="1" t="inlineStr">
        <is>
          <t>Description</t>
        </is>
      </c>
      <c r="E3" s="1" t="inlineStr">
        <is>
          <t>Budgeted</t>
        </is>
      </c>
      <c r="F3" s="1" t="inlineStr">
        <is>
          <t>Actual</t>
        </is>
      </c>
      <c r="G3" s="1" t="inlineStr">
        <is>
          <t>Difference</t>
        </is>
      </c>
      <c r="H3" s="1" t="inlineStr">
        <is>
          <t>% Used</t>
        </is>
      </c>
      <c r="I3" s="1" t="inlineStr">
        <is>
          <t>Payment Method</t>
        </is>
      </c>
      <c r="J3" s="1" t="inlineStr">
        <is>
          <t>Notes</t>
        </is>
      </c>
      <c r="K3" s="1" t="inlineStr">
        <is>
          <t>Running Total</t>
        </is>
      </c>
    </row>
    <row r="4">
      <c r="A4" s="43" t="n">
        <v>46174</v>
      </c>
      <c r="B4" s="44" t="inlineStr">
        <is>
          <t>Housing</t>
        </is>
      </c>
      <c r="C4" s="44" t="inlineStr">
        <is>
          <t>Rent</t>
        </is>
      </c>
      <c r="D4" s="44" t="inlineStr">
        <is>
          <t>Monthly rent payment</t>
        </is>
      </c>
      <c r="E4" s="45" t="n">
        <v>1500</v>
      </c>
      <c r="F4" s="45" t="n">
        <v>1500</v>
      </c>
      <c r="G4" s="10">
        <f>E4-F4</f>
        <v/>
      </c>
      <c r="H4" s="46">
        <f>IFERROR(F4/E4,0)</f>
        <v/>
      </c>
      <c r="I4" s="44" t="inlineStr">
        <is>
          <t>Bank Transfer</t>
        </is>
      </c>
      <c r="J4" s="44" t="inlineStr"/>
      <c r="K4" s="10">
        <f>SUM($F$4:F4)</f>
        <v/>
      </c>
    </row>
    <row r="5">
      <c r="A5" s="47" t="n">
        <v>46176</v>
      </c>
      <c r="B5" s="48" t="inlineStr">
        <is>
          <t>Food &amp; Dining</t>
        </is>
      </c>
      <c r="C5" s="48" t="inlineStr">
        <is>
          <t>Groceries</t>
        </is>
      </c>
      <c r="D5" s="48" t="inlineStr">
        <is>
          <t>Weekly grocery run</t>
        </is>
      </c>
      <c r="E5" s="49" t="n">
        <v>500</v>
      </c>
      <c r="F5" s="49" t="n">
        <v>540</v>
      </c>
      <c r="G5" s="13">
        <f>E5-F5</f>
        <v/>
      </c>
      <c r="H5" s="50">
        <f>IFERROR(F5/E5,0)</f>
        <v/>
      </c>
      <c r="I5" s="48" t="inlineStr">
        <is>
          <t>Debit Card</t>
        </is>
      </c>
      <c r="J5" s="48" t="inlineStr"/>
      <c r="K5" s="13">
        <f>SUM($F$4:F5)</f>
        <v/>
      </c>
    </row>
    <row r="6">
      <c r="A6" s="43" t="n">
        <v>46178</v>
      </c>
      <c r="B6" s="44" t="inlineStr">
        <is>
          <t>Transportation</t>
        </is>
      </c>
      <c r="C6" s="44" t="inlineStr">
        <is>
          <t>Gas</t>
        </is>
      </c>
      <c r="D6" s="44" t="inlineStr">
        <is>
          <t>Fuel for car</t>
        </is>
      </c>
      <c r="E6" s="45" t="n">
        <v>150</v>
      </c>
      <c r="F6" s="45" t="n">
        <v>165</v>
      </c>
      <c r="G6" s="10">
        <f>E6-F6</f>
        <v/>
      </c>
      <c r="H6" s="46">
        <f>IFERROR(F6/E6,0)</f>
        <v/>
      </c>
      <c r="I6" s="44" t="inlineStr">
        <is>
          <t>Credit Card</t>
        </is>
      </c>
      <c r="J6" s="44" t="inlineStr"/>
      <c r="K6" s="10">
        <f>SUM($F$4:F6)</f>
        <v/>
      </c>
    </row>
    <row r="7">
      <c r="A7" s="47" t="n">
        <v>46180</v>
      </c>
      <c r="B7" s="48" t="inlineStr">
        <is>
          <t>Entertainment</t>
        </is>
      </c>
      <c r="C7" s="48" t="inlineStr">
        <is>
          <t>Streaming</t>
        </is>
      </c>
      <c r="D7" s="48" t="inlineStr">
        <is>
          <t>Netflix + Spotify</t>
        </is>
      </c>
      <c r="E7" s="49" t="n">
        <v>30</v>
      </c>
      <c r="F7" s="49" t="n">
        <v>30</v>
      </c>
      <c r="G7" s="13">
        <f>E7-F7</f>
        <v/>
      </c>
      <c r="H7" s="50">
        <f>IFERROR(F7/E7,0)</f>
        <v/>
      </c>
      <c r="I7" s="48" t="inlineStr">
        <is>
          <t>Credit Card</t>
        </is>
      </c>
      <c r="J7" s="48" t="inlineStr"/>
      <c r="K7" s="13">
        <f>SUM($F$4:F7)</f>
        <v/>
      </c>
    </row>
    <row r="8">
      <c r="A8" s="43" t="n">
        <v>46182</v>
      </c>
      <c r="B8" s="44" t="inlineStr">
        <is>
          <t>Shopping</t>
        </is>
      </c>
      <c r="C8" s="44" t="inlineStr">
        <is>
          <t>Clothing</t>
        </is>
      </c>
      <c r="D8" s="44" t="inlineStr">
        <is>
          <t>New work clothes</t>
        </is>
      </c>
      <c r="E8" s="45" t="n">
        <v>100</v>
      </c>
      <c r="F8" s="45" t="n">
        <v>85</v>
      </c>
      <c r="G8" s="10">
        <f>E8-F8</f>
        <v/>
      </c>
      <c r="H8" s="46">
        <f>IFERROR(F8/E8,0)</f>
        <v/>
      </c>
      <c r="I8" s="44" t="inlineStr">
        <is>
          <t>Credit Card</t>
        </is>
      </c>
      <c r="J8" s="44" t="inlineStr"/>
      <c r="K8" s="10">
        <f>SUM($F$4:F8)</f>
        <v/>
      </c>
    </row>
    <row r="9">
      <c r="A9" s="47" t="n">
        <v>46184</v>
      </c>
      <c r="B9" s="48" t="inlineStr">
        <is>
          <t>Healthcare</t>
        </is>
      </c>
      <c r="C9" s="48" t="inlineStr">
        <is>
          <t>Doctor</t>
        </is>
      </c>
      <c r="D9" s="48" t="inlineStr">
        <is>
          <t>Annual checkup copay</t>
        </is>
      </c>
      <c r="E9" s="49" t="n">
        <v>50</v>
      </c>
      <c r="F9" s="49" t="n">
        <v>50</v>
      </c>
      <c r="G9" s="13">
        <f>E9-F9</f>
        <v/>
      </c>
      <c r="H9" s="50">
        <f>IFERROR(F9/E9,0)</f>
        <v/>
      </c>
      <c r="I9" s="48" t="inlineStr">
        <is>
          <t>Debit Card</t>
        </is>
      </c>
      <c r="J9" s="48" t="inlineStr"/>
      <c r="K9" s="13">
        <f>SUM($F$4:F9)</f>
        <v/>
      </c>
    </row>
    <row r="10">
      <c r="A10" s="43" t="n">
        <v>46186</v>
      </c>
      <c r="B10" s="44" t="inlineStr">
        <is>
          <t>Utilities</t>
        </is>
      </c>
      <c r="C10" s="44" t="inlineStr">
        <is>
          <t>Electricity</t>
        </is>
      </c>
      <c r="D10" s="44" t="inlineStr">
        <is>
          <t>Power bill</t>
        </is>
      </c>
      <c r="E10" s="45" t="n">
        <v>120</v>
      </c>
      <c r="F10" s="45" t="n">
        <v>135</v>
      </c>
      <c r="G10" s="10">
        <f>E10-F10</f>
        <v/>
      </c>
      <c r="H10" s="46">
        <f>IFERROR(F10/E10,0)</f>
        <v/>
      </c>
      <c r="I10" s="44" t="inlineStr">
        <is>
          <t>Bank Transfer</t>
        </is>
      </c>
      <c r="J10" s="44" t="inlineStr"/>
      <c r="K10" s="10">
        <f>SUM($F$4:F10)</f>
        <v/>
      </c>
    </row>
    <row r="11">
      <c r="A11" s="47" t="n">
        <v>46188</v>
      </c>
      <c r="B11" s="48" t="inlineStr">
        <is>
          <t>Education</t>
        </is>
      </c>
      <c r="C11" s="48" t="inlineStr">
        <is>
          <t>Courses</t>
        </is>
      </c>
      <c r="D11" s="48" t="inlineStr">
        <is>
          <t>Online course</t>
        </is>
      </c>
      <c r="E11" s="49" t="n">
        <v>50</v>
      </c>
      <c r="F11" s="49" t="n">
        <v>0</v>
      </c>
      <c r="G11" s="13">
        <f>E11-F11</f>
        <v/>
      </c>
      <c r="H11" s="50">
        <f>IFERROR(F11/E11,0)</f>
        <v/>
      </c>
      <c r="I11" s="48" t="inlineStr">
        <is>
          <t>Credit Card</t>
        </is>
      </c>
      <c r="J11" s="48" t="inlineStr">
        <is>
          <t>Not started yet</t>
        </is>
      </c>
      <c r="K11" s="13">
        <f>SUM($F$4:F11)</f>
        <v/>
      </c>
    </row>
    <row r="12">
      <c r="A12" s="43" t="n">
        <v>46190</v>
      </c>
      <c r="B12" s="44" t="inlineStr">
        <is>
          <t>Personal Care</t>
        </is>
      </c>
      <c r="C12" s="44" t="inlineStr">
        <is>
          <t>Haircuts</t>
        </is>
      </c>
      <c r="D12" s="44" t="inlineStr">
        <is>
          <t>Haircut</t>
        </is>
      </c>
      <c r="E12" s="45" t="n">
        <v>40</v>
      </c>
      <c r="F12" s="45" t="n">
        <v>45</v>
      </c>
      <c r="G12" s="10">
        <f>E12-F12</f>
        <v/>
      </c>
      <c r="H12" s="46">
        <f>IFERROR(F12/E12,0)</f>
        <v/>
      </c>
      <c r="I12" s="44" t="inlineStr">
        <is>
          <t>Cash</t>
        </is>
      </c>
      <c r="J12" s="44" t="inlineStr"/>
      <c r="K12" s="10">
        <f>SUM($F$4:F12)</f>
        <v/>
      </c>
    </row>
    <row r="13">
      <c r="A13" s="47" t="n">
        <v>46192</v>
      </c>
      <c r="B13" s="48" t="inlineStr">
        <is>
          <t>Savings</t>
        </is>
      </c>
      <c r="C13" s="48" t="inlineStr">
        <is>
          <t>General Savings</t>
        </is>
      </c>
      <c r="D13" s="48" t="inlineStr">
        <is>
          <t>Emergency fund transfer</t>
        </is>
      </c>
      <c r="E13" s="49" t="n">
        <v>500</v>
      </c>
      <c r="F13" s="49" t="n">
        <v>500</v>
      </c>
      <c r="G13" s="13">
        <f>E13-F13</f>
        <v/>
      </c>
      <c r="H13" s="50">
        <f>IFERROR(F13/E13,0)</f>
        <v/>
      </c>
      <c r="I13" s="48" t="inlineStr">
        <is>
          <t>Bank Transfer</t>
        </is>
      </c>
      <c r="J13" s="48" t="inlineStr"/>
      <c r="K13" s="13">
        <f>SUM($F$4:F13)</f>
        <v/>
      </c>
    </row>
    <row r="14">
      <c r="A14" s="43" t="n">
        <v>46194</v>
      </c>
      <c r="B14" s="44" t="inlineStr">
        <is>
          <t>Debt Payment</t>
        </is>
      </c>
      <c r="C14" s="44" t="inlineStr">
        <is>
          <t>Credit Card</t>
        </is>
      </c>
      <c r="D14" s="44" t="inlineStr">
        <is>
          <t>Minimum payment</t>
        </is>
      </c>
      <c r="E14" s="45" t="n">
        <v>200</v>
      </c>
      <c r="F14" s="45" t="n">
        <v>200</v>
      </c>
      <c r="G14" s="10">
        <f>E14-F14</f>
        <v/>
      </c>
      <c r="H14" s="46">
        <f>IFERROR(F14/E14,0)</f>
        <v/>
      </c>
      <c r="I14" s="44" t="inlineStr">
        <is>
          <t>Bank Transfer</t>
        </is>
      </c>
      <c r="J14" s="44" t="inlineStr"/>
      <c r="K14" s="10">
        <f>SUM($F$4:F14)</f>
        <v/>
      </c>
    </row>
    <row r="15">
      <c r="A15" s="47" t="n">
        <v>46196</v>
      </c>
      <c r="B15" s="48" t="inlineStr">
        <is>
          <t>Other</t>
        </is>
      </c>
      <c r="C15" s="48" t="inlineStr">
        <is>
          <t>Other</t>
        </is>
      </c>
      <c r="D15" s="48" t="inlineStr">
        <is>
          <t>Miscellaneous</t>
        </is>
      </c>
      <c r="E15" s="49" t="n">
        <v>50</v>
      </c>
      <c r="F15" s="49" t="n">
        <v>60</v>
      </c>
      <c r="G15" s="13">
        <f>E15-F15</f>
        <v/>
      </c>
      <c r="H15" s="50">
        <f>IFERROR(F15/E15,0)</f>
        <v/>
      </c>
      <c r="I15" s="48" t="inlineStr">
        <is>
          <t>Cash</t>
        </is>
      </c>
      <c r="J15" s="48" t="inlineStr">
        <is>
          <t>Birthday gift</t>
        </is>
      </c>
      <c r="K15" s="13">
        <f>SUM($F$4:F15)</f>
        <v/>
      </c>
    </row>
    <row r="16">
      <c r="A16" s="43" t="n"/>
      <c r="B16" s="44" t="n"/>
      <c r="C16" s="44" t="n"/>
      <c r="D16" s="44" t="n"/>
      <c r="E16" s="45" t="n"/>
      <c r="F16" s="45" t="n"/>
      <c r="G16" s="10">
        <f>E16-F16</f>
        <v/>
      </c>
      <c r="H16" s="46">
        <f>IFERROR(F16/E16,0)</f>
        <v/>
      </c>
      <c r="I16" s="44" t="n"/>
      <c r="J16" s="44" t="n"/>
      <c r="K16" s="10">
        <f>SUM($F$4:F16)</f>
        <v/>
      </c>
    </row>
    <row r="17">
      <c r="A17" s="47" t="n"/>
      <c r="B17" s="48" t="n"/>
      <c r="C17" s="48" t="n"/>
      <c r="D17" s="48" t="n"/>
      <c r="E17" s="49" t="n"/>
      <c r="F17" s="49" t="n"/>
      <c r="G17" s="13">
        <f>E17-F17</f>
        <v/>
      </c>
      <c r="H17" s="50">
        <f>IFERROR(F17/E17,0)</f>
        <v/>
      </c>
      <c r="I17" s="48" t="n"/>
      <c r="J17" s="48" t="n"/>
      <c r="K17" s="13">
        <f>SUM($F$4:F17)</f>
        <v/>
      </c>
    </row>
    <row r="18">
      <c r="A18" s="43" t="n"/>
      <c r="B18" s="44" t="n"/>
      <c r="C18" s="44" t="n"/>
      <c r="D18" s="44" t="n"/>
      <c r="E18" s="45" t="n"/>
      <c r="F18" s="45" t="n"/>
      <c r="G18" s="10">
        <f>E18-F18</f>
        <v/>
      </c>
      <c r="H18" s="46">
        <f>IFERROR(F18/E18,0)</f>
        <v/>
      </c>
      <c r="I18" s="44" t="n"/>
      <c r="J18" s="44" t="n"/>
      <c r="K18" s="10">
        <f>SUM($F$4:F18)</f>
        <v/>
      </c>
    </row>
    <row r="19">
      <c r="A19" s="47" t="n"/>
      <c r="B19" s="48" t="n"/>
      <c r="C19" s="48" t="n"/>
      <c r="D19" s="48" t="n"/>
      <c r="E19" s="49" t="n"/>
      <c r="F19" s="49" t="n"/>
      <c r="G19" s="13">
        <f>E19-F19</f>
        <v/>
      </c>
      <c r="H19" s="50">
        <f>IFERROR(F19/E19,0)</f>
        <v/>
      </c>
      <c r="I19" s="48" t="n"/>
      <c r="J19" s="48" t="n"/>
      <c r="K19" s="13">
        <f>SUM($F$4:F19)</f>
        <v/>
      </c>
    </row>
    <row r="20">
      <c r="A20" s="43" t="n"/>
      <c r="B20" s="44" t="n"/>
      <c r="C20" s="44" t="n"/>
      <c r="D20" s="44" t="n"/>
      <c r="E20" s="45" t="n"/>
      <c r="F20" s="45" t="n"/>
      <c r="G20" s="10">
        <f>E20-F20</f>
        <v/>
      </c>
      <c r="H20" s="46">
        <f>IFERROR(F20/E20,0)</f>
        <v/>
      </c>
      <c r="I20" s="44" t="n"/>
      <c r="J20" s="44" t="n"/>
      <c r="K20" s="10">
        <f>SUM($F$4:F20)</f>
        <v/>
      </c>
    </row>
    <row r="21">
      <c r="A21" s="47" t="n"/>
      <c r="B21" s="48" t="n"/>
      <c r="C21" s="48" t="n"/>
      <c r="D21" s="48" t="n"/>
      <c r="E21" s="49" t="n"/>
      <c r="F21" s="49" t="n"/>
      <c r="G21" s="13">
        <f>E21-F21</f>
        <v/>
      </c>
      <c r="H21" s="50">
        <f>IFERROR(F21/E21,0)</f>
        <v/>
      </c>
      <c r="I21" s="48" t="n"/>
      <c r="J21" s="48" t="n"/>
      <c r="K21" s="13">
        <f>SUM($F$4:F21)</f>
        <v/>
      </c>
    </row>
    <row r="22">
      <c r="A22" s="43" t="n"/>
      <c r="B22" s="44" t="n"/>
      <c r="C22" s="44" t="n"/>
      <c r="D22" s="44" t="n"/>
      <c r="E22" s="45" t="n"/>
      <c r="F22" s="45" t="n"/>
      <c r="G22" s="10">
        <f>E22-F22</f>
        <v/>
      </c>
      <c r="H22" s="46">
        <f>IFERROR(F22/E22,0)</f>
        <v/>
      </c>
      <c r="I22" s="44" t="n"/>
      <c r="J22" s="44" t="n"/>
      <c r="K22" s="10">
        <f>SUM($F$4:F22)</f>
        <v/>
      </c>
    </row>
    <row r="23">
      <c r="A23" s="47" t="n"/>
      <c r="B23" s="48" t="n"/>
      <c r="C23" s="48" t="n"/>
      <c r="D23" s="48" t="n"/>
      <c r="E23" s="49" t="n"/>
      <c r="F23" s="49" t="n"/>
      <c r="G23" s="13">
        <f>E23-F23</f>
        <v/>
      </c>
      <c r="H23" s="50">
        <f>IFERROR(F23/E23,0)</f>
        <v/>
      </c>
      <c r="I23" s="48" t="n"/>
      <c r="J23" s="48" t="n"/>
      <c r="K23" s="13">
        <f>SUM($F$4:F23)</f>
        <v/>
      </c>
    </row>
    <row r="24">
      <c r="A24" s="43" t="n"/>
      <c r="B24" s="44" t="n"/>
      <c r="C24" s="44" t="n"/>
      <c r="D24" s="44" t="n"/>
      <c r="E24" s="45" t="n"/>
      <c r="F24" s="45" t="n"/>
      <c r="G24" s="10">
        <f>E24-F24</f>
        <v/>
      </c>
      <c r="H24" s="46">
        <f>IFERROR(F24/E24,0)</f>
        <v/>
      </c>
      <c r="I24" s="44" t="n"/>
      <c r="J24" s="44" t="n"/>
      <c r="K24" s="10">
        <f>SUM($F$4:F24)</f>
        <v/>
      </c>
    </row>
    <row r="25">
      <c r="A25" s="47" t="n"/>
      <c r="B25" s="48" t="n"/>
      <c r="C25" s="48" t="n"/>
      <c r="D25" s="48" t="n"/>
      <c r="E25" s="49" t="n"/>
      <c r="F25" s="49" t="n"/>
      <c r="G25" s="13">
        <f>E25-F25</f>
        <v/>
      </c>
      <c r="H25" s="50">
        <f>IFERROR(F25/E25,0)</f>
        <v/>
      </c>
      <c r="I25" s="48" t="n"/>
      <c r="J25" s="48" t="n"/>
      <c r="K25" s="13">
        <f>SUM($F$4:F25)</f>
        <v/>
      </c>
    </row>
    <row r="26">
      <c r="A26" s="43" t="n"/>
      <c r="B26" s="44" t="n"/>
      <c r="C26" s="44" t="n"/>
      <c r="D26" s="44" t="n"/>
      <c r="E26" s="45" t="n"/>
      <c r="F26" s="45" t="n"/>
      <c r="G26" s="10">
        <f>E26-F26</f>
        <v/>
      </c>
      <c r="H26" s="46">
        <f>IFERROR(F26/E26,0)</f>
        <v/>
      </c>
      <c r="I26" s="44" t="n"/>
      <c r="J26" s="44" t="n"/>
      <c r="K26" s="10">
        <f>SUM($F$4:F26)</f>
        <v/>
      </c>
    </row>
    <row r="27">
      <c r="A27" s="47" t="n"/>
      <c r="B27" s="48" t="n"/>
      <c r="C27" s="48" t="n"/>
      <c r="D27" s="48" t="n"/>
      <c r="E27" s="49" t="n"/>
      <c r="F27" s="49" t="n"/>
      <c r="G27" s="13">
        <f>E27-F27</f>
        <v/>
      </c>
      <c r="H27" s="50">
        <f>IFERROR(F27/E27,0)</f>
        <v/>
      </c>
      <c r="I27" s="48" t="n"/>
      <c r="J27" s="48" t="n"/>
      <c r="K27" s="13">
        <f>SUM($F$4:F27)</f>
        <v/>
      </c>
    </row>
    <row r="28">
      <c r="A28" s="43" t="n"/>
      <c r="B28" s="44" t="n"/>
      <c r="C28" s="44" t="n"/>
      <c r="D28" s="44" t="n"/>
      <c r="E28" s="45" t="n"/>
      <c r="F28" s="45" t="n"/>
      <c r="G28" s="10">
        <f>E28-F28</f>
        <v/>
      </c>
      <c r="H28" s="46">
        <f>IFERROR(F28/E28,0)</f>
        <v/>
      </c>
      <c r="I28" s="44" t="n"/>
      <c r="J28" s="44" t="n"/>
      <c r="K28" s="10">
        <f>SUM($F$4:F28)</f>
        <v/>
      </c>
    </row>
    <row r="29">
      <c r="A29" s="47" t="n"/>
      <c r="B29" s="48" t="n"/>
      <c r="C29" s="48" t="n"/>
      <c r="D29" s="48" t="n"/>
      <c r="E29" s="49" t="n"/>
      <c r="F29" s="49" t="n"/>
      <c r="G29" s="13">
        <f>E29-F29</f>
        <v/>
      </c>
      <c r="H29" s="50">
        <f>IFERROR(F29/E29,0)</f>
        <v/>
      </c>
      <c r="I29" s="48" t="n"/>
      <c r="J29" s="48" t="n"/>
      <c r="K29" s="13">
        <f>SUM($F$4:F29)</f>
        <v/>
      </c>
    </row>
    <row r="30">
      <c r="A30" s="43" t="n"/>
      <c r="B30" s="44" t="n"/>
      <c r="C30" s="44" t="n"/>
      <c r="D30" s="44" t="n"/>
      <c r="E30" s="45" t="n"/>
      <c r="F30" s="45" t="n"/>
      <c r="G30" s="10">
        <f>E30-F30</f>
        <v/>
      </c>
      <c r="H30" s="46">
        <f>IFERROR(F30/E30,0)</f>
        <v/>
      </c>
      <c r="I30" s="44" t="n"/>
      <c r="J30" s="44" t="n"/>
      <c r="K30" s="10">
        <f>SUM($F$4:F30)</f>
        <v/>
      </c>
    </row>
    <row r="31">
      <c r="A31" s="47" t="n"/>
      <c r="B31" s="48" t="n"/>
      <c r="C31" s="48" t="n"/>
      <c r="D31" s="48" t="n"/>
      <c r="E31" s="49" t="n"/>
      <c r="F31" s="49" t="n"/>
      <c r="G31" s="13">
        <f>E31-F31</f>
        <v/>
      </c>
      <c r="H31" s="50">
        <f>IFERROR(F31/E31,0)</f>
        <v/>
      </c>
      <c r="I31" s="48" t="n"/>
      <c r="J31" s="48" t="n"/>
      <c r="K31" s="13">
        <f>SUM($F$4:F31)</f>
        <v/>
      </c>
    </row>
    <row r="32">
      <c r="A32" s="43" t="n"/>
      <c r="B32" s="44" t="n"/>
      <c r="C32" s="44" t="n"/>
      <c r="D32" s="44" t="n"/>
      <c r="E32" s="45" t="n"/>
      <c r="F32" s="45" t="n"/>
      <c r="G32" s="10">
        <f>E32-F32</f>
        <v/>
      </c>
      <c r="H32" s="46">
        <f>IFERROR(F32/E32,0)</f>
        <v/>
      </c>
      <c r="I32" s="44" t="n"/>
      <c r="J32" s="44" t="n"/>
      <c r="K32" s="10">
        <f>SUM($F$4:F32)</f>
        <v/>
      </c>
    </row>
    <row r="33">
      <c r="A33" s="47" t="n"/>
      <c r="B33" s="48" t="n"/>
      <c r="C33" s="48" t="n"/>
      <c r="D33" s="48" t="n"/>
      <c r="E33" s="49" t="n"/>
      <c r="F33" s="49" t="n"/>
      <c r="G33" s="13">
        <f>E33-F33</f>
        <v/>
      </c>
      <c r="H33" s="50">
        <f>IFERROR(F33/E33,0)</f>
        <v/>
      </c>
      <c r="I33" s="48" t="n"/>
      <c r="J33" s="48" t="n"/>
      <c r="K33" s="13">
        <f>SUM($F$4:F33)</f>
        <v/>
      </c>
    </row>
    <row r="34">
      <c r="A34" s="43" t="n"/>
      <c r="B34" s="44" t="n"/>
      <c r="C34" s="44" t="n"/>
      <c r="D34" s="44" t="n"/>
      <c r="E34" s="45" t="n"/>
      <c r="F34" s="45" t="n"/>
      <c r="G34" s="10">
        <f>E34-F34</f>
        <v/>
      </c>
      <c r="H34" s="46">
        <f>IFERROR(F34/E34,0)</f>
        <v/>
      </c>
      <c r="I34" s="44" t="n"/>
      <c r="J34" s="44" t="n"/>
      <c r="K34" s="10">
        <f>SUM($F$4:F34)</f>
        <v/>
      </c>
    </row>
    <row r="35">
      <c r="A35" s="47" t="n"/>
      <c r="B35" s="48" t="n"/>
      <c r="C35" s="48" t="n"/>
      <c r="D35" s="48" t="n"/>
      <c r="E35" s="49" t="n"/>
      <c r="F35" s="49" t="n"/>
      <c r="G35" s="13">
        <f>E35-F35</f>
        <v/>
      </c>
      <c r="H35" s="50">
        <f>IFERROR(F35/E35,0)</f>
        <v/>
      </c>
      <c r="I35" s="48" t="n"/>
      <c r="J35" s="48" t="n"/>
      <c r="K35" s="13">
        <f>SUM($F$4:F35)</f>
        <v/>
      </c>
    </row>
    <row r="36">
      <c r="A36" s="43" t="n"/>
      <c r="B36" s="44" t="n"/>
      <c r="C36" s="44" t="n"/>
      <c r="D36" s="44" t="n"/>
      <c r="E36" s="45" t="n"/>
      <c r="F36" s="45" t="n"/>
      <c r="G36" s="10">
        <f>E36-F36</f>
        <v/>
      </c>
      <c r="H36" s="46">
        <f>IFERROR(F36/E36,0)</f>
        <v/>
      </c>
      <c r="I36" s="44" t="n"/>
      <c r="J36" s="44" t="n"/>
      <c r="K36" s="10">
        <f>SUM($F$4:F36)</f>
        <v/>
      </c>
    </row>
    <row r="37">
      <c r="A37" s="47" t="n"/>
      <c r="B37" s="48" t="n"/>
      <c r="C37" s="48" t="n"/>
      <c r="D37" s="48" t="n"/>
      <c r="E37" s="49" t="n"/>
      <c r="F37" s="49" t="n"/>
      <c r="G37" s="13">
        <f>E37-F37</f>
        <v/>
      </c>
      <c r="H37" s="50">
        <f>IFERROR(F37/E37,0)</f>
        <v/>
      </c>
      <c r="I37" s="48" t="n"/>
      <c r="J37" s="48" t="n"/>
      <c r="K37" s="13">
        <f>SUM($F$4:F37)</f>
        <v/>
      </c>
    </row>
    <row r="38">
      <c r="A38" s="43" t="n"/>
      <c r="B38" s="44" t="n"/>
      <c r="C38" s="44" t="n"/>
      <c r="D38" s="44" t="n"/>
      <c r="E38" s="45" t="n"/>
      <c r="F38" s="45" t="n"/>
      <c r="G38" s="10">
        <f>E38-F38</f>
        <v/>
      </c>
      <c r="H38" s="46">
        <f>IFERROR(F38/E38,0)</f>
        <v/>
      </c>
      <c r="I38" s="44" t="n"/>
      <c r="J38" s="44" t="n"/>
      <c r="K38" s="10">
        <f>SUM($F$4:F38)</f>
        <v/>
      </c>
    </row>
    <row r="39">
      <c r="A39" s="47" t="n"/>
      <c r="B39" s="48" t="n"/>
      <c r="C39" s="48" t="n"/>
      <c r="D39" s="48" t="n"/>
      <c r="E39" s="49" t="n"/>
      <c r="F39" s="49" t="n"/>
      <c r="G39" s="13">
        <f>E39-F39</f>
        <v/>
      </c>
      <c r="H39" s="50">
        <f>IFERROR(F39/E39,0)</f>
        <v/>
      </c>
      <c r="I39" s="48" t="n"/>
      <c r="J39" s="48" t="n"/>
      <c r="K39" s="13">
        <f>SUM($F$4:F39)</f>
        <v/>
      </c>
    </row>
    <row r="40">
      <c r="A40" s="43" t="n"/>
      <c r="B40" s="44" t="n"/>
      <c r="C40" s="44" t="n"/>
      <c r="D40" s="44" t="n"/>
      <c r="E40" s="45" t="n"/>
      <c r="F40" s="45" t="n"/>
      <c r="G40" s="10">
        <f>E40-F40</f>
        <v/>
      </c>
      <c r="H40" s="46">
        <f>IFERROR(F40/E40,0)</f>
        <v/>
      </c>
      <c r="I40" s="44" t="n"/>
      <c r="J40" s="44" t="n"/>
      <c r="K40" s="10">
        <f>SUM($F$4:F40)</f>
        <v/>
      </c>
    </row>
    <row r="41">
      <c r="A41" s="47" t="n"/>
      <c r="B41" s="48" t="n"/>
      <c r="C41" s="48" t="n"/>
      <c r="D41" s="48" t="n"/>
      <c r="E41" s="49" t="n"/>
      <c r="F41" s="49" t="n"/>
      <c r="G41" s="13">
        <f>E41-F41</f>
        <v/>
      </c>
      <c r="H41" s="50">
        <f>IFERROR(F41/E41,0)</f>
        <v/>
      </c>
      <c r="I41" s="48" t="n"/>
      <c r="J41" s="48" t="n"/>
      <c r="K41" s="13">
        <f>SUM($F$4:F41)</f>
        <v/>
      </c>
    </row>
    <row r="42">
      <c r="A42" s="43" t="n"/>
      <c r="B42" s="44" t="n"/>
      <c r="C42" s="44" t="n"/>
      <c r="D42" s="44" t="n"/>
      <c r="E42" s="45" t="n"/>
      <c r="F42" s="45" t="n"/>
      <c r="G42" s="10">
        <f>E42-F42</f>
        <v/>
      </c>
      <c r="H42" s="46">
        <f>IFERROR(F42/E42,0)</f>
        <v/>
      </c>
      <c r="I42" s="44" t="n"/>
      <c r="J42" s="44" t="n"/>
      <c r="K42" s="10">
        <f>SUM($F$4:F42)</f>
        <v/>
      </c>
    </row>
    <row r="43">
      <c r="A43" s="47" t="n"/>
      <c r="B43" s="48" t="n"/>
      <c r="C43" s="48" t="n"/>
      <c r="D43" s="48" t="n"/>
      <c r="E43" s="49" t="n"/>
      <c r="F43" s="49" t="n"/>
      <c r="G43" s="13">
        <f>E43-F43</f>
        <v/>
      </c>
      <c r="H43" s="50">
        <f>IFERROR(F43/E43,0)</f>
        <v/>
      </c>
      <c r="I43" s="48" t="n"/>
      <c r="J43" s="48" t="n"/>
      <c r="K43" s="13">
        <f>SUM($F$4:F43)</f>
        <v/>
      </c>
    </row>
    <row r="44">
      <c r="A44" s="43" t="n"/>
      <c r="B44" s="44" t="n"/>
      <c r="C44" s="44" t="n"/>
      <c r="D44" s="44" t="n"/>
      <c r="E44" s="45" t="n"/>
      <c r="F44" s="45" t="n"/>
      <c r="G44" s="10">
        <f>E44-F44</f>
        <v/>
      </c>
      <c r="H44" s="46">
        <f>IFERROR(F44/E44,0)</f>
        <v/>
      </c>
      <c r="I44" s="44" t="n"/>
      <c r="J44" s="44" t="n"/>
      <c r="K44" s="10">
        <f>SUM($F$4:F44)</f>
        <v/>
      </c>
    </row>
    <row r="45">
      <c r="A45" s="47" t="n"/>
      <c r="B45" s="48" t="n"/>
      <c r="C45" s="48" t="n"/>
      <c r="D45" s="48" t="n"/>
      <c r="E45" s="49" t="n"/>
      <c r="F45" s="49" t="n"/>
      <c r="G45" s="13">
        <f>E45-F45</f>
        <v/>
      </c>
      <c r="H45" s="50">
        <f>IFERROR(F45/E45,0)</f>
        <v/>
      </c>
      <c r="I45" s="48" t="n"/>
      <c r="J45" s="48" t="n"/>
      <c r="K45" s="13">
        <f>SUM($F$4:F45)</f>
        <v/>
      </c>
    </row>
    <row r="46">
      <c r="A46" s="43" t="n"/>
      <c r="B46" s="44" t="n"/>
      <c r="C46" s="44" t="n"/>
      <c r="D46" s="44" t="n"/>
      <c r="E46" s="45" t="n"/>
      <c r="F46" s="45" t="n"/>
      <c r="G46" s="10">
        <f>E46-F46</f>
        <v/>
      </c>
      <c r="H46" s="46">
        <f>IFERROR(F46/E46,0)</f>
        <v/>
      </c>
      <c r="I46" s="44" t="n"/>
      <c r="J46" s="44" t="n"/>
      <c r="K46" s="10">
        <f>SUM($F$4:F46)</f>
        <v/>
      </c>
    </row>
    <row r="47">
      <c r="A47" s="47" t="n"/>
      <c r="B47" s="48" t="n"/>
      <c r="C47" s="48" t="n"/>
      <c r="D47" s="48" t="n"/>
      <c r="E47" s="49" t="n"/>
      <c r="F47" s="49" t="n"/>
      <c r="G47" s="13">
        <f>E47-F47</f>
        <v/>
      </c>
      <c r="H47" s="50">
        <f>IFERROR(F47/E47,0)</f>
        <v/>
      </c>
      <c r="I47" s="48" t="n"/>
      <c r="J47" s="48" t="n"/>
      <c r="K47" s="13">
        <f>SUM($F$4:F47)</f>
        <v/>
      </c>
    </row>
    <row r="48">
      <c r="A48" s="43" t="n"/>
      <c r="B48" s="44" t="n"/>
      <c r="C48" s="44" t="n"/>
      <c r="D48" s="44" t="n"/>
      <c r="E48" s="45" t="n"/>
      <c r="F48" s="45" t="n"/>
      <c r="G48" s="10">
        <f>E48-F48</f>
        <v/>
      </c>
      <c r="H48" s="46">
        <f>IFERROR(F48/E48,0)</f>
        <v/>
      </c>
      <c r="I48" s="44" t="n"/>
      <c r="J48" s="44" t="n"/>
      <c r="K48" s="10">
        <f>SUM($F$4:F48)</f>
        <v/>
      </c>
    </row>
    <row r="49">
      <c r="A49" s="47" t="n"/>
      <c r="B49" s="48" t="n"/>
      <c r="C49" s="48" t="n"/>
      <c r="D49" s="48" t="n"/>
      <c r="E49" s="49" t="n"/>
      <c r="F49" s="49" t="n"/>
      <c r="G49" s="13">
        <f>E49-F49</f>
        <v/>
      </c>
      <c r="H49" s="50">
        <f>IFERROR(F49/E49,0)</f>
        <v/>
      </c>
      <c r="I49" s="48" t="n"/>
      <c r="J49" s="48" t="n"/>
      <c r="K49" s="13">
        <f>SUM($F$4:F49)</f>
        <v/>
      </c>
    </row>
    <row r="50">
      <c r="A50" s="43" t="n"/>
      <c r="B50" s="44" t="n"/>
      <c r="C50" s="44" t="n"/>
      <c r="D50" s="44" t="n"/>
      <c r="E50" s="45" t="n"/>
      <c r="F50" s="45" t="n"/>
      <c r="G50" s="10">
        <f>E50-F50</f>
        <v/>
      </c>
      <c r="H50" s="46">
        <f>IFERROR(F50/E50,0)</f>
        <v/>
      </c>
      <c r="I50" s="44" t="n"/>
      <c r="J50" s="44" t="n"/>
      <c r="K50" s="10">
        <f>SUM($F$4:F50)</f>
        <v/>
      </c>
    </row>
    <row r="51">
      <c r="A51" s="47" t="n"/>
      <c r="B51" s="48" t="n"/>
      <c r="C51" s="48" t="n"/>
      <c r="D51" s="48" t="n"/>
      <c r="E51" s="49" t="n"/>
      <c r="F51" s="49" t="n"/>
      <c r="G51" s="13">
        <f>E51-F51</f>
        <v/>
      </c>
      <c r="H51" s="50">
        <f>IFERROR(F51/E51,0)</f>
        <v/>
      </c>
      <c r="I51" s="48" t="n"/>
      <c r="J51" s="48" t="n"/>
      <c r="K51" s="13">
        <f>SUM($F$4:F51)</f>
        <v/>
      </c>
    </row>
    <row r="52">
      <c r="A52" s="43" t="n"/>
      <c r="B52" s="44" t="n"/>
      <c r="C52" s="44" t="n"/>
      <c r="D52" s="44" t="n"/>
      <c r="E52" s="45" t="n"/>
      <c r="F52" s="45" t="n"/>
      <c r="G52" s="10">
        <f>E52-F52</f>
        <v/>
      </c>
      <c r="H52" s="46">
        <f>IFERROR(F52/E52,0)</f>
        <v/>
      </c>
      <c r="I52" s="44" t="n"/>
      <c r="J52" s="44" t="n"/>
      <c r="K52" s="10">
        <f>SUM($F$4:F52)</f>
        <v/>
      </c>
    </row>
    <row r="53">
      <c r="A53" s="47" t="n"/>
      <c r="B53" s="48" t="n"/>
      <c r="C53" s="48" t="n"/>
      <c r="D53" s="48" t="n"/>
      <c r="E53" s="49" t="n"/>
      <c r="F53" s="49" t="n"/>
      <c r="G53" s="13">
        <f>E53-F53</f>
        <v/>
      </c>
      <c r="H53" s="50">
        <f>IFERROR(F53/E53,0)</f>
        <v/>
      </c>
      <c r="I53" s="48" t="n"/>
      <c r="J53" s="48" t="n"/>
      <c r="K53" s="13">
        <f>SUM($F$4:F53)</f>
        <v/>
      </c>
    </row>
    <row r="54">
      <c r="A54" s="43" t="n"/>
      <c r="B54" s="44" t="n"/>
      <c r="C54" s="44" t="n"/>
      <c r="D54" s="44" t="n"/>
      <c r="E54" s="45" t="n"/>
      <c r="F54" s="45" t="n"/>
      <c r="G54" s="10">
        <f>E54-F54</f>
        <v/>
      </c>
      <c r="H54" s="46">
        <f>IFERROR(F54/E54,0)</f>
        <v/>
      </c>
      <c r="I54" s="44" t="n"/>
      <c r="J54" s="44" t="n"/>
      <c r="K54" s="10">
        <f>SUM($F$4:F54)</f>
        <v/>
      </c>
    </row>
    <row r="55">
      <c r="A55" s="47" t="n"/>
      <c r="B55" s="48" t="n"/>
      <c r="C55" s="48" t="n"/>
      <c r="D55" s="48" t="n"/>
      <c r="E55" s="49" t="n"/>
      <c r="F55" s="49" t="n"/>
      <c r="G55" s="13">
        <f>E55-F55</f>
        <v/>
      </c>
      <c r="H55" s="50">
        <f>IFERROR(F55/E55,0)</f>
        <v/>
      </c>
      <c r="I55" s="48" t="n"/>
      <c r="J55" s="48" t="n"/>
      <c r="K55" s="13">
        <f>SUM($F$4:F55)</f>
        <v/>
      </c>
    </row>
    <row r="56">
      <c r="A56" s="43" t="n"/>
      <c r="B56" s="44" t="n"/>
      <c r="C56" s="44" t="n"/>
      <c r="D56" s="44" t="n"/>
      <c r="E56" s="45" t="n"/>
      <c r="F56" s="45" t="n"/>
      <c r="G56" s="10">
        <f>E56-F56</f>
        <v/>
      </c>
      <c r="H56" s="46">
        <f>IFERROR(F56/E56,0)</f>
        <v/>
      </c>
      <c r="I56" s="44" t="n"/>
      <c r="J56" s="44" t="n"/>
      <c r="K56" s="10">
        <f>SUM($F$4:F56)</f>
        <v/>
      </c>
    </row>
    <row r="57">
      <c r="A57" s="47" t="n"/>
      <c r="B57" s="48" t="n"/>
      <c r="C57" s="48" t="n"/>
      <c r="D57" s="48" t="n"/>
      <c r="E57" s="49" t="n"/>
      <c r="F57" s="49" t="n"/>
      <c r="G57" s="13">
        <f>E57-F57</f>
        <v/>
      </c>
      <c r="H57" s="50">
        <f>IFERROR(F57/E57,0)</f>
        <v/>
      </c>
      <c r="I57" s="48" t="n"/>
      <c r="J57" s="48" t="n"/>
      <c r="K57" s="13">
        <f>SUM($F$4:F57)</f>
        <v/>
      </c>
    </row>
    <row r="58">
      <c r="A58" s="43" t="n"/>
      <c r="B58" s="44" t="n"/>
      <c r="C58" s="44" t="n"/>
      <c r="D58" s="44" t="n"/>
      <c r="E58" s="45" t="n"/>
      <c r="F58" s="45" t="n"/>
      <c r="G58" s="10">
        <f>E58-F58</f>
        <v/>
      </c>
      <c r="H58" s="46">
        <f>IFERROR(F58/E58,0)</f>
        <v/>
      </c>
      <c r="I58" s="44" t="n"/>
      <c r="J58" s="44" t="n"/>
      <c r="K58" s="10">
        <f>SUM($F$4:F58)</f>
        <v/>
      </c>
    </row>
    <row r="59">
      <c r="A59" s="47" t="n"/>
      <c r="B59" s="48" t="n"/>
      <c r="C59" s="48" t="n"/>
      <c r="D59" s="48" t="n"/>
      <c r="E59" s="49" t="n"/>
      <c r="F59" s="49" t="n"/>
      <c r="G59" s="13">
        <f>E59-F59</f>
        <v/>
      </c>
      <c r="H59" s="50">
        <f>IFERROR(F59/E59,0)</f>
        <v/>
      </c>
      <c r="I59" s="48" t="n"/>
      <c r="J59" s="48" t="n"/>
      <c r="K59" s="13">
        <f>SUM($F$4:F59)</f>
        <v/>
      </c>
    </row>
    <row r="60">
      <c r="A60" s="43" t="n"/>
      <c r="B60" s="44" t="n"/>
      <c r="C60" s="44" t="n"/>
      <c r="D60" s="44" t="n"/>
      <c r="E60" s="45" t="n"/>
      <c r="F60" s="45" t="n"/>
      <c r="G60" s="10">
        <f>E60-F60</f>
        <v/>
      </c>
      <c r="H60" s="46">
        <f>IFERROR(F60/E60,0)</f>
        <v/>
      </c>
      <c r="I60" s="44" t="n"/>
      <c r="J60" s="44" t="n"/>
      <c r="K60" s="10">
        <f>SUM($F$4:F60)</f>
        <v/>
      </c>
    </row>
    <row r="61">
      <c r="A61" s="47" t="n"/>
      <c r="B61" s="48" t="n"/>
      <c r="C61" s="48" t="n"/>
      <c r="D61" s="48" t="n"/>
      <c r="E61" s="49" t="n"/>
      <c r="F61" s="49" t="n"/>
      <c r="G61" s="13">
        <f>E61-F61</f>
        <v/>
      </c>
      <c r="H61" s="50">
        <f>IFERROR(F61/E61,0)</f>
        <v/>
      </c>
      <c r="I61" s="48" t="n"/>
      <c r="J61" s="48" t="n"/>
      <c r="K61" s="13">
        <f>SUM($F$4:F61)</f>
        <v/>
      </c>
    </row>
    <row r="62">
      <c r="A62" s="43" t="n"/>
      <c r="B62" s="44" t="n"/>
      <c r="C62" s="44" t="n"/>
      <c r="D62" s="44" t="n"/>
      <c r="E62" s="45" t="n"/>
      <c r="F62" s="45" t="n"/>
      <c r="G62" s="10">
        <f>E62-F62</f>
        <v/>
      </c>
      <c r="H62" s="46">
        <f>IFERROR(F62/E62,0)</f>
        <v/>
      </c>
      <c r="I62" s="44" t="n"/>
      <c r="J62" s="44" t="n"/>
      <c r="K62" s="10">
        <f>SUM($F$4:F62)</f>
        <v/>
      </c>
    </row>
    <row r="63">
      <c r="A63" s="47" t="n"/>
      <c r="B63" s="48" t="n"/>
      <c r="C63" s="48" t="n"/>
      <c r="D63" s="48" t="n"/>
      <c r="E63" s="49" t="n"/>
      <c r="F63" s="49" t="n"/>
      <c r="G63" s="13">
        <f>E63-F63</f>
        <v/>
      </c>
      <c r="H63" s="50">
        <f>IFERROR(F63/E63,0)</f>
        <v/>
      </c>
      <c r="I63" s="48" t="n"/>
      <c r="J63" s="48" t="n"/>
      <c r="K63" s="13">
        <f>SUM($F$4:F63)</f>
        <v/>
      </c>
    </row>
    <row r="64">
      <c r="A64" s="43" t="n"/>
      <c r="B64" s="44" t="n"/>
      <c r="C64" s="44" t="n"/>
      <c r="D64" s="44" t="n"/>
      <c r="E64" s="45" t="n"/>
      <c r="F64" s="45" t="n"/>
      <c r="G64" s="10">
        <f>E64-F64</f>
        <v/>
      </c>
      <c r="H64" s="46">
        <f>IFERROR(F64/E64,0)</f>
        <v/>
      </c>
      <c r="I64" s="44" t="n"/>
      <c r="J64" s="44" t="n"/>
      <c r="K64" s="10">
        <f>SUM($F$4:F64)</f>
        <v/>
      </c>
    </row>
    <row r="65">
      <c r="A65" s="47" t="n"/>
      <c r="B65" s="48" t="n"/>
      <c r="C65" s="48" t="n"/>
      <c r="D65" s="48" t="n"/>
      <c r="E65" s="49" t="n"/>
      <c r="F65" s="49" t="n"/>
      <c r="G65" s="13">
        <f>E65-F65</f>
        <v/>
      </c>
      <c r="H65" s="50">
        <f>IFERROR(F65/E65,0)</f>
        <v/>
      </c>
      <c r="I65" s="48" t="n"/>
      <c r="J65" s="48" t="n"/>
      <c r="K65" s="13">
        <f>SUM($F$4:F65)</f>
        <v/>
      </c>
    </row>
    <row r="66">
      <c r="A66" s="43" t="n"/>
      <c r="B66" s="44" t="n"/>
      <c r="C66" s="44" t="n"/>
      <c r="D66" s="44" t="n"/>
      <c r="E66" s="45" t="n"/>
      <c r="F66" s="45" t="n"/>
      <c r="G66" s="10">
        <f>E66-F66</f>
        <v/>
      </c>
      <c r="H66" s="46">
        <f>IFERROR(F66/E66,0)</f>
        <v/>
      </c>
      <c r="I66" s="44" t="n"/>
      <c r="J66" s="44" t="n"/>
      <c r="K66" s="10">
        <f>SUM($F$4:F66)</f>
        <v/>
      </c>
    </row>
    <row r="67">
      <c r="A67" s="47" t="n"/>
      <c r="B67" s="48" t="n"/>
      <c r="C67" s="48" t="n"/>
      <c r="D67" s="48" t="n"/>
      <c r="E67" s="49" t="n"/>
      <c r="F67" s="49" t="n"/>
      <c r="G67" s="13">
        <f>E67-F67</f>
        <v/>
      </c>
      <c r="H67" s="50">
        <f>IFERROR(F67/E67,0)</f>
        <v/>
      </c>
      <c r="I67" s="48" t="n"/>
      <c r="J67" s="48" t="n"/>
      <c r="K67" s="13">
        <f>SUM($F$4:F67)</f>
        <v/>
      </c>
    </row>
    <row r="68">
      <c r="A68" s="43" t="n"/>
      <c r="B68" s="44" t="n"/>
      <c r="C68" s="44" t="n"/>
      <c r="D68" s="44" t="n"/>
      <c r="E68" s="45" t="n"/>
      <c r="F68" s="45" t="n"/>
      <c r="G68" s="10">
        <f>E68-F68</f>
        <v/>
      </c>
      <c r="H68" s="46">
        <f>IFERROR(F68/E68,0)</f>
        <v/>
      </c>
      <c r="I68" s="44" t="n"/>
      <c r="J68" s="44" t="n"/>
      <c r="K68" s="10">
        <f>SUM($F$4:F68)</f>
        <v/>
      </c>
    </row>
    <row r="69">
      <c r="A69" s="47" t="n"/>
      <c r="B69" s="48" t="n"/>
      <c r="C69" s="48" t="n"/>
      <c r="D69" s="48" t="n"/>
      <c r="E69" s="49" t="n"/>
      <c r="F69" s="49" t="n"/>
      <c r="G69" s="13">
        <f>E69-F69</f>
        <v/>
      </c>
      <c r="H69" s="50">
        <f>IFERROR(F69/E69,0)</f>
        <v/>
      </c>
      <c r="I69" s="48" t="n"/>
      <c r="J69" s="48" t="n"/>
      <c r="K69" s="13">
        <f>SUM($F$4:F69)</f>
        <v/>
      </c>
    </row>
    <row r="70">
      <c r="A70" s="43" t="n"/>
      <c r="B70" s="44" t="n"/>
      <c r="C70" s="44" t="n"/>
      <c r="D70" s="44" t="n"/>
      <c r="E70" s="45" t="n"/>
      <c r="F70" s="45" t="n"/>
      <c r="G70" s="10">
        <f>E70-F70</f>
        <v/>
      </c>
      <c r="H70" s="46">
        <f>IFERROR(F70/E70,0)</f>
        <v/>
      </c>
      <c r="I70" s="44" t="n"/>
      <c r="J70" s="44" t="n"/>
      <c r="K70" s="10">
        <f>SUM($F$4:F70)</f>
        <v/>
      </c>
    </row>
    <row r="71">
      <c r="A71" s="47" t="n"/>
      <c r="B71" s="48" t="n"/>
      <c r="C71" s="48" t="n"/>
      <c r="D71" s="48" t="n"/>
      <c r="E71" s="49" t="n"/>
      <c r="F71" s="49" t="n"/>
      <c r="G71" s="13">
        <f>E71-F71</f>
        <v/>
      </c>
      <c r="H71" s="50">
        <f>IFERROR(F71/E71,0)</f>
        <v/>
      </c>
      <c r="I71" s="48" t="n"/>
      <c r="J71" s="48" t="n"/>
      <c r="K71" s="13">
        <f>SUM($F$4:F71)</f>
        <v/>
      </c>
    </row>
    <row r="72">
      <c r="A72" s="43" t="n"/>
      <c r="B72" s="44" t="n"/>
      <c r="C72" s="44" t="n"/>
      <c r="D72" s="44" t="n"/>
      <c r="E72" s="45" t="n"/>
      <c r="F72" s="45" t="n"/>
      <c r="G72" s="10">
        <f>E72-F72</f>
        <v/>
      </c>
      <c r="H72" s="46">
        <f>IFERROR(F72/E72,0)</f>
        <v/>
      </c>
      <c r="I72" s="44" t="n"/>
      <c r="J72" s="44" t="n"/>
      <c r="K72" s="10">
        <f>SUM($F$4:F72)</f>
        <v/>
      </c>
    </row>
    <row r="73">
      <c r="A73" s="47" t="n"/>
      <c r="B73" s="48" t="n"/>
      <c r="C73" s="48" t="n"/>
      <c r="D73" s="48" t="n"/>
      <c r="E73" s="49" t="n"/>
      <c r="F73" s="49" t="n"/>
      <c r="G73" s="13">
        <f>E73-F73</f>
        <v/>
      </c>
      <c r="H73" s="50">
        <f>IFERROR(F73/E73,0)</f>
        <v/>
      </c>
      <c r="I73" s="48" t="n"/>
      <c r="J73" s="48" t="n"/>
      <c r="K73" s="13">
        <f>SUM($F$4:F73)</f>
        <v/>
      </c>
    </row>
    <row r="74">
      <c r="A74" s="43" t="n"/>
      <c r="B74" s="44" t="n"/>
      <c r="C74" s="44" t="n"/>
      <c r="D74" s="44" t="n"/>
      <c r="E74" s="45" t="n"/>
      <c r="F74" s="45" t="n"/>
      <c r="G74" s="10">
        <f>E74-F74</f>
        <v/>
      </c>
      <c r="H74" s="46">
        <f>IFERROR(F74/E74,0)</f>
        <v/>
      </c>
      <c r="I74" s="44" t="n"/>
      <c r="J74" s="44" t="n"/>
      <c r="K74" s="10">
        <f>SUM($F$4:F74)</f>
        <v/>
      </c>
    </row>
    <row r="75">
      <c r="A75" s="47" t="n"/>
      <c r="B75" s="48" t="n"/>
      <c r="C75" s="48" t="n"/>
      <c r="D75" s="48" t="n"/>
      <c r="E75" s="49" t="n"/>
      <c r="F75" s="49" t="n"/>
      <c r="G75" s="13">
        <f>E75-F75</f>
        <v/>
      </c>
      <c r="H75" s="50">
        <f>IFERROR(F75/E75,0)</f>
        <v/>
      </c>
      <c r="I75" s="48" t="n"/>
      <c r="J75" s="48" t="n"/>
      <c r="K75" s="13">
        <f>SUM($F$4:F75)</f>
        <v/>
      </c>
    </row>
    <row r="76">
      <c r="A76" s="43" t="n"/>
      <c r="B76" s="44" t="n"/>
      <c r="C76" s="44" t="n"/>
      <c r="D76" s="44" t="n"/>
      <c r="E76" s="45" t="n"/>
      <c r="F76" s="45" t="n"/>
      <c r="G76" s="10">
        <f>E76-F76</f>
        <v/>
      </c>
      <c r="H76" s="46">
        <f>IFERROR(F76/E76,0)</f>
        <v/>
      </c>
      <c r="I76" s="44" t="n"/>
      <c r="J76" s="44" t="n"/>
      <c r="K76" s="10">
        <f>SUM($F$4:F76)</f>
        <v/>
      </c>
    </row>
    <row r="77">
      <c r="A77" s="47" t="n"/>
      <c r="B77" s="48" t="n"/>
      <c r="C77" s="48" t="n"/>
      <c r="D77" s="48" t="n"/>
      <c r="E77" s="49" t="n"/>
      <c r="F77" s="49" t="n"/>
      <c r="G77" s="13">
        <f>E77-F77</f>
        <v/>
      </c>
      <c r="H77" s="50">
        <f>IFERROR(F77/E77,0)</f>
        <v/>
      </c>
      <c r="I77" s="48" t="n"/>
      <c r="J77" s="48" t="n"/>
      <c r="K77" s="13">
        <f>SUM($F$4:F77)</f>
        <v/>
      </c>
    </row>
    <row r="78">
      <c r="A78" s="43" t="n"/>
      <c r="B78" s="44" t="n"/>
      <c r="C78" s="44" t="n"/>
      <c r="D78" s="44" t="n"/>
      <c r="E78" s="45" t="n"/>
      <c r="F78" s="45" t="n"/>
      <c r="G78" s="10">
        <f>E78-F78</f>
        <v/>
      </c>
      <c r="H78" s="46">
        <f>IFERROR(F78/E78,0)</f>
        <v/>
      </c>
      <c r="I78" s="44" t="n"/>
      <c r="J78" s="44" t="n"/>
      <c r="K78" s="10">
        <f>SUM($F$4:F78)</f>
        <v/>
      </c>
    </row>
    <row r="79">
      <c r="A79" s="47" t="n"/>
      <c r="B79" s="48" t="n"/>
      <c r="C79" s="48" t="n"/>
      <c r="D79" s="48" t="n"/>
      <c r="E79" s="49" t="n"/>
      <c r="F79" s="49" t="n"/>
      <c r="G79" s="13">
        <f>E79-F79</f>
        <v/>
      </c>
      <c r="H79" s="50">
        <f>IFERROR(F79/E79,0)</f>
        <v/>
      </c>
      <c r="I79" s="48" t="n"/>
      <c r="J79" s="48" t="n"/>
      <c r="K79" s="13">
        <f>SUM($F$4:F79)</f>
        <v/>
      </c>
    </row>
    <row r="80">
      <c r="A80" s="43" t="n"/>
      <c r="B80" s="44" t="n"/>
      <c r="C80" s="44" t="n"/>
      <c r="D80" s="44" t="n"/>
      <c r="E80" s="45" t="n"/>
      <c r="F80" s="45" t="n"/>
      <c r="G80" s="10">
        <f>E80-F80</f>
        <v/>
      </c>
      <c r="H80" s="46">
        <f>IFERROR(F80/E80,0)</f>
        <v/>
      </c>
      <c r="I80" s="44" t="n"/>
      <c r="J80" s="44" t="n"/>
      <c r="K80" s="10">
        <f>SUM($F$4:F80)</f>
        <v/>
      </c>
    </row>
    <row r="81">
      <c r="A81" s="47" t="n"/>
      <c r="B81" s="48" t="n"/>
      <c r="C81" s="48" t="n"/>
      <c r="D81" s="48" t="n"/>
      <c r="E81" s="49" t="n"/>
      <c r="F81" s="49" t="n"/>
      <c r="G81" s="13">
        <f>E81-F81</f>
        <v/>
      </c>
      <c r="H81" s="50">
        <f>IFERROR(F81/E81,0)</f>
        <v/>
      </c>
      <c r="I81" s="48" t="n"/>
      <c r="J81" s="48" t="n"/>
      <c r="K81" s="13">
        <f>SUM($F$4:F81)</f>
        <v/>
      </c>
    </row>
    <row r="82">
      <c r="A82" s="43" t="n"/>
      <c r="B82" s="44" t="n"/>
      <c r="C82" s="44" t="n"/>
      <c r="D82" s="44" t="n"/>
      <c r="E82" s="45" t="n"/>
      <c r="F82" s="45" t="n"/>
      <c r="G82" s="10">
        <f>E82-F82</f>
        <v/>
      </c>
      <c r="H82" s="46">
        <f>IFERROR(F82/E82,0)</f>
        <v/>
      </c>
      <c r="I82" s="44" t="n"/>
      <c r="J82" s="44" t="n"/>
      <c r="K82" s="10">
        <f>SUM($F$4:F82)</f>
        <v/>
      </c>
    </row>
    <row r="83">
      <c r="A83" s="47" t="n"/>
      <c r="B83" s="48" t="n"/>
      <c r="C83" s="48" t="n"/>
      <c r="D83" s="48" t="n"/>
      <c r="E83" s="49" t="n"/>
      <c r="F83" s="49" t="n"/>
      <c r="G83" s="13">
        <f>E83-F83</f>
        <v/>
      </c>
      <c r="H83" s="50">
        <f>IFERROR(F83/E83,0)</f>
        <v/>
      </c>
      <c r="I83" s="48" t="n"/>
      <c r="J83" s="48" t="n"/>
      <c r="K83" s="13">
        <f>SUM($F$4:F83)</f>
        <v/>
      </c>
    </row>
    <row r="84">
      <c r="A84" s="43" t="n"/>
      <c r="B84" s="44" t="n"/>
      <c r="C84" s="44" t="n"/>
      <c r="D84" s="44" t="n"/>
      <c r="E84" s="45" t="n"/>
      <c r="F84" s="45" t="n"/>
      <c r="G84" s="10">
        <f>E84-F84</f>
        <v/>
      </c>
      <c r="H84" s="46">
        <f>IFERROR(F84/E84,0)</f>
        <v/>
      </c>
      <c r="I84" s="44" t="n"/>
      <c r="J84" s="44" t="n"/>
      <c r="K84" s="10">
        <f>SUM($F$4:F84)</f>
        <v/>
      </c>
    </row>
    <row r="85">
      <c r="A85" s="47" t="n"/>
      <c r="B85" s="48" t="n"/>
      <c r="C85" s="48" t="n"/>
      <c r="D85" s="48" t="n"/>
      <c r="E85" s="49" t="n"/>
      <c r="F85" s="49" t="n"/>
      <c r="G85" s="13">
        <f>E85-F85</f>
        <v/>
      </c>
      <c r="H85" s="50">
        <f>IFERROR(F85/E85,0)</f>
        <v/>
      </c>
      <c r="I85" s="48" t="n"/>
      <c r="J85" s="48" t="n"/>
      <c r="K85" s="13">
        <f>SUM($F$4:F85)</f>
        <v/>
      </c>
    </row>
    <row r="86">
      <c r="A86" s="43" t="n"/>
      <c r="B86" s="44" t="n"/>
      <c r="C86" s="44" t="n"/>
      <c r="D86" s="44" t="n"/>
      <c r="E86" s="45" t="n"/>
      <c r="F86" s="45" t="n"/>
      <c r="G86" s="10">
        <f>E86-F86</f>
        <v/>
      </c>
      <c r="H86" s="46">
        <f>IFERROR(F86/E86,0)</f>
        <v/>
      </c>
      <c r="I86" s="44" t="n"/>
      <c r="J86" s="44" t="n"/>
      <c r="K86" s="10">
        <f>SUM($F$4:F86)</f>
        <v/>
      </c>
    </row>
    <row r="87">
      <c r="A87" s="47" t="n"/>
      <c r="B87" s="48" t="n"/>
      <c r="C87" s="48" t="n"/>
      <c r="D87" s="48" t="n"/>
      <c r="E87" s="49" t="n"/>
      <c r="F87" s="49" t="n"/>
      <c r="G87" s="13">
        <f>E87-F87</f>
        <v/>
      </c>
      <c r="H87" s="50">
        <f>IFERROR(F87/E87,0)</f>
        <v/>
      </c>
      <c r="I87" s="48" t="n"/>
      <c r="J87" s="48" t="n"/>
      <c r="K87" s="13">
        <f>SUM($F$4:F87)</f>
        <v/>
      </c>
    </row>
    <row r="88">
      <c r="A88" s="43" t="n"/>
      <c r="B88" s="44" t="n"/>
      <c r="C88" s="44" t="n"/>
      <c r="D88" s="44" t="n"/>
      <c r="E88" s="45" t="n"/>
      <c r="F88" s="45" t="n"/>
      <c r="G88" s="10">
        <f>E88-F88</f>
        <v/>
      </c>
      <c r="H88" s="46">
        <f>IFERROR(F88/E88,0)</f>
        <v/>
      </c>
      <c r="I88" s="44" t="n"/>
      <c r="J88" s="44" t="n"/>
      <c r="K88" s="10">
        <f>SUM($F$4:F88)</f>
        <v/>
      </c>
    </row>
    <row r="89">
      <c r="A89" s="47" t="n"/>
      <c r="B89" s="48" t="n"/>
      <c r="C89" s="48" t="n"/>
      <c r="D89" s="48" t="n"/>
      <c r="E89" s="49" t="n"/>
      <c r="F89" s="49" t="n"/>
      <c r="G89" s="13">
        <f>E89-F89</f>
        <v/>
      </c>
      <c r="H89" s="50">
        <f>IFERROR(F89/E89,0)</f>
        <v/>
      </c>
      <c r="I89" s="48" t="n"/>
      <c r="J89" s="48" t="n"/>
      <c r="K89" s="13">
        <f>SUM($F$4:F89)</f>
        <v/>
      </c>
    </row>
    <row r="90">
      <c r="A90" s="43" t="n"/>
      <c r="B90" s="44" t="n"/>
      <c r="C90" s="44" t="n"/>
      <c r="D90" s="44" t="n"/>
      <c r="E90" s="45" t="n"/>
      <c r="F90" s="45" t="n"/>
      <c r="G90" s="10">
        <f>E90-F90</f>
        <v/>
      </c>
      <c r="H90" s="46">
        <f>IFERROR(F90/E90,0)</f>
        <v/>
      </c>
      <c r="I90" s="44" t="n"/>
      <c r="J90" s="44" t="n"/>
      <c r="K90" s="10">
        <f>SUM($F$4:F90)</f>
        <v/>
      </c>
    </row>
    <row r="91">
      <c r="A91" s="47" t="n"/>
      <c r="B91" s="48" t="n"/>
      <c r="C91" s="48" t="n"/>
      <c r="D91" s="48" t="n"/>
      <c r="E91" s="49" t="n"/>
      <c r="F91" s="49" t="n"/>
      <c r="G91" s="13">
        <f>E91-F91</f>
        <v/>
      </c>
      <c r="H91" s="50">
        <f>IFERROR(F91/E91,0)</f>
        <v/>
      </c>
      <c r="I91" s="48" t="n"/>
      <c r="J91" s="48" t="n"/>
      <c r="K91" s="13">
        <f>SUM($F$4:F91)</f>
        <v/>
      </c>
    </row>
    <row r="92">
      <c r="A92" s="43" t="n"/>
      <c r="B92" s="44" t="n"/>
      <c r="C92" s="44" t="n"/>
      <c r="D92" s="44" t="n"/>
      <c r="E92" s="45" t="n"/>
      <c r="F92" s="45" t="n"/>
      <c r="G92" s="10">
        <f>E92-F92</f>
        <v/>
      </c>
      <c r="H92" s="46">
        <f>IFERROR(F92/E92,0)</f>
        <v/>
      </c>
      <c r="I92" s="44" t="n"/>
      <c r="J92" s="44" t="n"/>
      <c r="K92" s="10">
        <f>SUM($F$4:F92)</f>
        <v/>
      </c>
    </row>
    <row r="93">
      <c r="A93" s="47" t="n"/>
      <c r="B93" s="48" t="n"/>
      <c r="C93" s="48" t="n"/>
      <c r="D93" s="48" t="n"/>
      <c r="E93" s="49" t="n"/>
      <c r="F93" s="49" t="n"/>
      <c r="G93" s="13">
        <f>E93-F93</f>
        <v/>
      </c>
      <c r="H93" s="50">
        <f>IFERROR(F93/E93,0)</f>
        <v/>
      </c>
      <c r="I93" s="48" t="n"/>
      <c r="J93" s="48" t="n"/>
      <c r="K93" s="13">
        <f>SUM($F$4:F93)</f>
        <v/>
      </c>
    </row>
    <row r="94">
      <c r="A94" s="43" t="n"/>
      <c r="B94" s="44" t="n"/>
      <c r="C94" s="44" t="n"/>
      <c r="D94" s="44" t="n"/>
      <c r="E94" s="45" t="n"/>
      <c r="F94" s="45" t="n"/>
      <c r="G94" s="10">
        <f>E94-F94</f>
        <v/>
      </c>
      <c r="H94" s="46">
        <f>IFERROR(F94/E94,0)</f>
        <v/>
      </c>
      <c r="I94" s="44" t="n"/>
      <c r="J94" s="44" t="n"/>
      <c r="K94" s="10">
        <f>SUM($F$4:F94)</f>
        <v/>
      </c>
    </row>
    <row r="95">
      <c r="A95" s="47" t="n"/>
      <c r="B95" s="48" t="n"/>
      <c r="C95" s="48" t="n"/>
      <c r="D95" s="48" t="n"/>
      <c r="E95" s="49" t="n"/>
      <c r="F95" s="49" t="n"/>
      <c r="G95" s="13">
        <f>E95-F95</f>
        <v/>
      </c>
      <c r="H95" s="50">
        <f>IFERROR(F95/E95,0)</f>
        <v/>
      </c>
      <c r="I95" s="48" t="n"/>
      <c r="J95" s="48" t="n"/>
      <c r="K95" s="13">
        <f>SUM($F$4:F95)</f>
        <v/>
      </c>
    </row>
    <row r="96">
      <c r="A96" s="43" t="n"/>
      <c r="B96" s="44" t="n"/>
      <c r="C96" s="44" t="n"/>
      <c r="D96" s="44" t="n"/>
      <c r="E96" s="45" t="n"/>
      <c r="F96" s="45" t="n"/>
      <c r="G96" s="10">
        <f>E96-F96</f>
        <v/>
      </c>
      <c r="H96" s="46">
        <f>IFERROR(F96/E96,0)</f>
        <v/>
      </c>
      <c r="I96" s="44" t="n"/>
      <c r="J96" s="44" t="n"/>
      <c r="K96" s="10">
        <f>SUM($F$4:F96)</f>
        <v/>
      </c>
    </row>
    <row r="97">
      <c r="A97" s="47" t="n"/>
      <c r="B97" s="48" t="n"/>
      <c r="C97" s="48" t="n"/>
      <c r="D97" s="48" t="n"/>
      <c r="E97" s="49" t="n"/>
      <c r="F97" s="49" t="n"/>
      <c r="G97" s="13">
        <f>E97-F97</f>
        <v/>
      </c>
      <c r="H97" s="50">
        <f>IFERROR(F97/E97,0)</f>
        <v/>
      </c>
      <c r="I97" s="48" t="n"/>
      <c r="J97" s="48" t="n"/>
      <c r="K97" s="13">
        <f>SUM($F$4:F97)</f>
        <v/>
      </c>
    </row>
    <row r="98">
      <c r="A98" s="43" t="n"/>
      <c r="B98" s="44" t="n"/>
      <c r="C98" s="44" t="n"/>
      <c r="D98" s="44" t="n"/>
      <c r="E98" s="45" t="n"/>
      <c r="F98" s="45" t="n"/>
      <c r="G98" s="10">
        <f>E98-F98</f>
        <v/>
      </c>
      <c r="H98" s="46">
        <f>IFERROR(F98/E98,0)</f>
        <v/>
      </c>
      <c r="I98" s="44" t="n"/>
      <c r="J98" s="44" t="n"/>
      <c r="K98" s="10">
        <f>SUM($F$4:F98)</f>
        <v/>
      </c>
    </row>
    <row r="99">
      <c r="A99" s="47" t="n"/>
      <c r="B99" s="48" t="n"/>
      <c r="C99" s="48" t="n"/>
      <c r="D99" s="48" t="n"/>
      <c r="E99" s="49" t="n"/>
      <c r="F99" s="49" t="n"/>
      <c r="G99" s="13">
        <f>E99-F99</f>
        <v/>
      </c>
      <c r="H99" s="50">
        <f>IFERROR(F99/E99,0)</f>
        <v/>
      </c>
      <c r="I99" s="48" t="n"/>
      <c r="J99" s="48" t="n"/>
      <c r="K99" s="13">
        <f>SUM($F$4:F99)</f>
        <v/>
      </c>
    </row>
    <row r="100">
      <c r="A100" s="43" t="n"/>
      <c r="B100" s="44" t="n"/>
      <c r="C100" s="44" t="n"/>
      <c r="D100" s="44" t="n"/>
      <c r="E100" s="45" t="n"/>
      <c r="F100" s="45" t="n"/>
      <c r="G100" s="10">
        <f>E100-F100</f>
        <v/>
      </c>
      <c r="H100" s="46">
        <f>IFERROR(F100/E100,0)</f>
        <v/>
      </c>
      <c r="I100" s="44" t="n"/>
      <c r="J100" s="44" t="n"/>
      <c r="K100" s="10">
        <f>SUM($F$4:F100)</f>
        <v/>
      </c>
    </row>
    <row r="101">
      <c r="A101" s="47" t="n"/>
      <c r="B101" s="48" t="n"/>
      <c r="C101" s="48" t="n"/>
      <c r="D101" s="48" t="n"/>
      <c r="E101" s="49" t="n"/>
      <c r="F101" s="49" t="n"/>
      <c r="G101" s="13">
        <f>E101-F101</f>
        <v/>
      </c>
      <c r="H101" s="50">
        <f>IFERROR(F101/E101,0)</f>
        <v/>
      </c>
      <c r="I101" s="48" t="n"/>
      <c r="J101" s="48" t="n"/>
      <c r="K101" s="13">
        <f>SUM($F$4:F101)</f>
        <v/>
      </c>
    </row>
    <row r="102">
      <c r="A102" s="43" t="n"/>
      <c r="B102" s="44" t="n"/>
      <c r="C102" s="44" t="n"/>
      <c r="D102" s="44" t="n"/>
      <c r="E102" s="45" t="n"/>
      <c r="F102" s="45" t="n"/>
      <c r="G102" s="10">
        <f>E102-F102</f>
        <v/>
      </c>
      <c r="H102" s="46">
        <f>IFERROR(F102/E102,0)</f>
        <v/>
      </c>
      <c r="I102" s="44" t="n"/>
      <c r="J102" s="44" t="n"/>
      <c r="K102" s="10">
        <f>SUM($F$4:F102)</f>
        <v/>
      </c>
    </row>
    <row r="103">
      <c r="A103" s="47" t="n"/>
      <c r="B103" s="48" t="n"/>
      <c r="C103" s="48" t="n"/>
      <c r="D103" s="48" t="n"/>
      <c r="E103" s="49" t="n"/>
      <c r="F103" s="49" t="n"/>
      <c r="G103" s="13">
        <f>E103-F103</f>
        <v/>
      </c>
      <c r="H103" s="50">
        <f>IFERROR(F103/E103,0)</f>
        <v/>
      </c>
      <c r="I103" s="48" t="n"/>
      <c r="J103" s="48" t="n"/>
      <c r="K103" s="13">
        <f>SUM($F$4:F103)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2">
    <mergeCell ref="A1:K1"/>
    <mergeCell ref="G2:K2"/>
  </mergeCells>
  <conditionalFormatting sqref="G4:G10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4:H103">
    <cfRule type="cellIs" priority="3" operator="greaterThan" dxfId="3">
      <formula>1</formula>
    </cfRule>
    <cfRule type="cellIs" priority="4" operator="between" dxfId="4">
      <formula>0.8</formula>
      <formula>1</formula>
    </cfRule>
    <cfRule type="cellIs" priority="5" operator="lessThan" dxfId="2">
      <formula>0.8</formula>
    </cfRule>
  </conditionalFormatting>
  <conditionalFormatting sqref="A4:A103">
    <cfRule type="cellIs" priority="6" operator="equal" dxfId="5">
      <formula>TODAY()</formula>
    </cfRule>
  </conditionalFormatting>
  <dataValidations count="3">
    <dataValidation sqref="B4:B103" showDropDown="0" showInputMessage="0" showErrorMessage="0" allowBlank="1" type="list">
      <formula1>=CATEGORIES</formula1>
    </dataValidation>
    <dataValidation sqref="C4:C103" showDropDown="0" showInputMessage="0" showErrorMessage="0" allowBlank="1" type="list">
      <formula1>=SUBCATEGORIES</formula1>
    </dataValidation>
    <dataValidation sqref="I4:I103" showDropDown="0" showInputMessage="0" showErrorMessage="0" allowBlank="1" type="list">
      <formula1>=PAYMENT_METHODS</formula1>
    </dataValidation>
  </dataValidations>
  <pageMargins left="0.75" right="0.75" top="1" bottom="1" header="0.5" footer="0.5"/>
  <pageSetup orientation="landscape" fitToHeight="0" fitToWidth="1"/>
  <headerFooter>
    <oddHeader>&amp;CUltimate Budget Planner | Monthly Budget | Page &amp;P</oddHeader>
    <oddFooter>&amp;CGenerated with Budget Planner Pro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40916C"/>
    <outlinePr summaryBelow="1" summaryRight="1"/>
  </sheetPr>
  <dimension ref="A1:G1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40" customHeight="1">
      <c r="A1" s="2" t="inlineStr">
        <is>
          <t>📆 WEEKLY BUDGET</t>
        </is>
      </c>
    </row>
    <row r="2" ht="32" customHeight="1">
      <c r="A2" s="28" t="inlineStr">
        <is>
          <t>Category</t>
        </is>
      </c>
      <c r="B2" s="30">
        <f>"Week 1: "&amp;TEXT(DATE(YEAR(TODAY()),MONTH(TODAY()),1),"MMM D")&amp;"–"&amp;TEXT(DATE(YEAR(TODAY()),MONTH(TODAY()),7),"MMM D")</f>
        <v/>
      </c>
      <c r="C2" s="30">
        <f>"Week 2: "&amp;TEXT(DATE(YEAR(TODAY()),MONTH(TODAY()),8),"MMM D")&amp;"–"&amp;TEXT(DATE(YEAR(TODAY()),MONTH(TODAY()),14),"MMM D")</f>
        <v/>
      </c>
      <c r="D2" s="30">
        <f>"Week 3: "&amp;TEXT(DATE(YEAR(TODAY()),MONTH(TODAY()),15),"MMM D")&amp;"–"&amp;TEXT(DATE(YEAR(TODAY()),MONTH(TODAY()),21),"MMM D")</f>
        <v/>
      </c>
      <c r="E2" s="30">
        <f>"Week 4: "&amp;TEXT(DATE(YEAR(TODAY()),MONTH(TODAY()),22),"MMM D")&amp;"–"&amp;TEXT(DATE(YEAR(TODAY()),MONTH(TODAY()),28),"MMM D")</f>
        <v/>
      </c>
      <c r="F2" s="30">
        <f>"Week 5: "&amp;TEXT(DATE(YEAR(TODAY()),MONTH(TODAY()),29),"MMM D")&amp;"–"&amp;TEXT(DATE(YEAR(TODAY()),MONTH(TODAY()),28),"MMM D")</f>
        <v/>
      </c>
      <c r="G2" s="31" t="inlineStr">
        <is>
          <t>Monthly Total</t>
        </is>
      </c>
    </row>
    <row r="3">
      <c r="A3" s="32" t="inlineStr">
        <is>
          <t>Income This Week</t>
        </is>
      </c>
      <c r="B3" s="24" t="n">
        <v>1100</v>
      </c>
      <c r="C3" s="24" t="n">
        <v>1100</v>
      </c>
      <c r="D3" s="24" t="n">
        <v>1100</v>
      </c>
      <c r="E3" s="24" t="n">
        <v>1100</v>
      </c>
      <c r="F3" s="24" t="n">
        <v>1100</v>
      </c>
      <c r="G3" s="51">
        <f>SUM(B3:F3)</f>
        <v/>
      </c>
    </row>
    <row r="4">
      <c r="A4" s="52" t="n"/>
      <c r="B4" s="9" t="n"/>
      <c r="C4" s="12" t="n"/>
      <c r="D4" s="9" t="n"/>
      <c r="E4" s="12" t="n"/>
      <c r="F4" s="9" t="n"/>
      <c r="G4" s="53" t="n"/>
    </row>
    <row r="5">
      <c r="A5" s="52" t="inlineStr">
        <is>
          <t>Housing</t>
        </is>
      </c>
      <c r="B5" s="24" t="n">
        <v>0</v>
      </c>
      <c r="C5" s="24" t="n">
        <v>0</v>
      </c>
      <c r="D5" s="24" t="n">
        <v>0</v>
      </c>
      <c r="E5" s="24" t="n">
        <v>0</v>
      </c>
      <c r="F5" s="24" t="n">
        <v>0</v>
      </c>
      <c r="G5" s="54">
        <f>SUM(B5:F5)</f>
        <v/>
      </c>
    </row>
    <row r="6">
      <c r="A6" s="52" t="inlineStr">
        <is>
          <t>Food &amp; Dining</t>
        </is>
      </c>
      <c r="B6" s="24" t="n">
        <v>0</v>
      </c>
      <c r="C6" s="24" t="n">
        <v>0</v>
      </c>
      <c r="D6" s="24" t="n">
        <v>0</v>
      </c>
      <c r="E6" s="24" t="n">
        <v>0</v>
      </c>
      <c r="F6" s="24" t="n">
        <v>0</v>
      </c>
      <c r="G6" s="54">
        <f>SUM(B6:F6)</f>
        <v/>
      </c>
    </row>
    <row r="7">
      <c r="A7" s="52" t="inlineStr">
        <is>
          <t>Transportation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54">
        <f>SUM(B7:F7)</f>
        <v/>
      </c>
    </row>
    <row r="8">
      <c r="A8" s="52" t="inlineStr">
        <is>
          <t>Entertainment</t>
        </is>
      </c>
      <c r="B8" s="24" t="n">
        <v>0</v>
      </c>
      <c r="C8" s="24" t="n">
        <v>0</v>
      </c>
      <c r="D8" s="24" t="n">
        <v>0</v>
      </c>
      <c r="E8" s="24" t="n">
        <v>0</v>
      </c>
      <c r="F8" s="24" t="n">
        <v>0</v>
      </c>
      <c r="G8" s="54">
        <f>SUM(B8:F8)</f>
        <v/>
      </c>
    </row>
    <row r="9">
      <c r="A9" s="52" t="inlineStr">
        <is>
          <t>Shopping</t>
        </is>
      </c>
      <c r="B9" s="24" t="n">
        <v>0</v>
      </c>
      <c r="C9" s="24" t="n">
        <v>0</v>
      </c>
      <c r="D9" s="24" t="n">
        <v>0</v>
      </c>
      <c r="E9" s="24" t="n">
        <v>0</v>
      </c>
      <c r="F9" s="24" t="n">
        <v>0</v>
      </c>
      <c r="G9" s="54">
        <f>SUM(B9:F9)</f>
        <v/>
      </c>
    </row>
    <row r="10">
      <c r="A10" s="52" t="inlineStr">
        <is>
          <t>Utilities</t>
        </is>
      </c>
      <c r="B10" s="24" t="n">
        <v>0</v>
      </c>
      <c r="C10" s="24" t="n">
        <v>0</v>
      </c>
      <c r="D10" s="24" t="n">
        <v>0</v>
      </c>
      <c r="E10" s="24" t="n">
        <v>0</v>
      </c>
      <c r="F10" s="24" t="n">
        <v>0</v>
      </c>
      <c r="G10" s="54">
        <f>SUM(B10:F10)</f>
        <v/>
      </c>
    </row>
    <row r="11">
      <c r="A11" s="52" t="inlineStr">
        <is>
          <t>Healthcare</t>
        </is>
      </c>
      <c r="B11" s="24" t="n">
        <v>0</v>
      </c>
      <c r="C11" s="24" t="n">
        <v>0</v>
      </c>
      <c r="D11" s="24" t="n">
        <v>0</v>
      </c>
      <c r="E11" s="24" t="n">
        <v>0</v>
      </c>
      <c r="F11" s="24" t="n">
        <v>0</v>
      </c>
      <c r="G11" s="54">
        <f>SUM(B11:F11)</f>
        <v/>
      </c>
    </row>
    <row r="12">
      <c r="A12" s="52" t="inlineStr">
        <is>
          <t>Personal</t>
        </is>
      </c>
      <c r="B12" s="24" t="n">
        <v>0</v>
      </c>
      <c r="C12" s="24" t="n">
        <v>0</v>
      </c>
      <c r="D12" s="24" t="n">
        <v>0</v>
      </c>
      <c r="E12" s="24" t="n">
        <v>0</v>
      </c>
      <c r="F12" s="24" t="n">
        <v>0</v>
      </c>
      <c r="G12" s="54">
        <f>SUM(B12:F12)</f>
        <v/>
      </c>
    </row>
    <row r="13">
      <c r="A13" s="52" t="inlineStr">
        <is>
          <t>Savings</t>
        </is>
      </c>
      <c r="B13" s="24" t="n">
        <v>0</v>
      </c>
      <c r="C13" s="24" t="n">
        <v>0</v>
      </c>
      <c r="D13" s="24" t="n">
        <v>0</v>
      </c>
      <c r="E13" s="24" t="n">
        <v>0</v>
      </c>
      <c r="F13" s="24" t="n">
        <v>0</v>
      </c>
      <c r="G13" s="54">
        <f>SUM(B13:F13)</f>
        <v/>
      </c>
    </row>
    <row r="14">
      <c r="A14" s="52" t="inlineStr">
        <is>
          <t>Other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54">
        <f>SUM(B14:F14)</f>
        <v/>
      </c>
    </row>
    <row r="15">
      <c r="A15" s="52" t="n"/>
      <c r="B15" s="9" t="n"/>
      <c r="C15" s="12" t="n"/>
      <c r="D15" s="9" t="n"/>
      <c r="E15" s="12" t="n"/>
      <c r="F15" s="9" t="n"/>
      <c r="G15" s="53" t="n"/>
    </row>
    <row r="16">
      <c r="A16" s="32" t="inlineStr">
        <is>
          <t>Total Expenses</t>
        </is>
      </c>
      <c r="B16" s="16">
        <f>SUM(B5:B14)</f>
        <v/>
      </c>
      <c r="C16" s="16">
        <f>SUM(C5:C14)</f>
        <v/>
      </c>
      <c r="D16" s="16">
        <f>SUM(D5:D14)</f>
        <v/>
      </c>
      <c r="E16" s="16">
        <f>SUM(E5:E14)</f>
        <v/>
      </c>
      <c r="F16" s="16">
        <f>SUM(F5:F14)</f>
        <v/>
      </c>
      <c r="G16" s="55">
        <f>SUM(G5:G14)</f>
        <v/>
      </c>
    </row>
    <row r="17">
      <c r="A17" s="52" t="inlineStr">
        <is>
          <t>Net (Income - Expenses)</t>
        </is>
      </c>
      <c r="B17" s="10">
        <f>B3-B16</f>
        <v/>
      </c>
      <c r="C17" s="13">
        <f>C3-C16</f>
        <v/>
      </c>
      <c r="D17" s="10">
        <f>D3-D16</f>
        <v/>
      </c>
      <c r="E17" s="13">
        <f>E3-E16</f>
        <v/>
      </c>
      <c r="F17" s="10">
        <f>F3-F16</f>
        <v/>
      </c>
      <c r="G17" s="54">
        <f>G3-G16</f>
        <v/>
      </c>
    </row>
    <row r="18">
      <c r="A18" s="52" t="inlineStr">
        <is>
          <t>Remaining to Spend</t>
        </is>
      </c>
      <c r="B18" s="10">
        <f>MAX(B17,0)</f>
        <v/>
      </c>
      <c r="C18" s="13">
        <f>MAX(C17,0)</f>
        <v/>
      </c>
      <c r="D18" s="10">
        <f>MAX(D17,0)</f>
        <v/>
      </c>
      <c r="E18" s="13">
        <f>MAX(E17,0)</f>
        <v/>
      </c>
      <c r="F18" s="10">
        <f>MAX(F17,0)</f>
        <v/>
      </c>
      <c r="G18" s="54">
        <f>MAX(G17,0)</f>
        <v/>
      </c>
    </row>
    <row r="19">
      <c r="A19" s="56" t="inlineStr">
        <is>
          <t>Budget Used</t>
        </is>
      </c>
      <c r="B19" s="57">
        <f>REPT("█",ROUND((IFERROR(B16/B3,0))*20,0))&amp;REPT("░",20-ROUND((IFERROR(B16/B3,0))*20,0))&amp;" "&amp;TEXT(IFERROR(B16/B3,0),"0%")</f>
        <v/>
      </c>
      <c r="C19" s="58">
        <f>REPT("█",ROUND((IFERROR(C16/C3,0))*20,0))&amp;REPT("░",20-ROUND((IFERROR(C16/C3,0))*20,0))&amp;" "&amp;TEXT(IFERROR(C16/C3,0),"0%")</f>
        <v/>
      </c>
      <c r="D19" s="57">
        <f>REPT("█",ROUND((IFERROR(D16/D3,0))*20,0))&amp;REPT("░",20-ROUND((IFERROR(D16/D3,0))*20,0))&amp;" "&amp;TEXT(IFERROR(D16/D3,0),"0%")</f>
        <v/>
      </c>
      <c r="E19" s="58">
        <f>REPT("█",ROUND((IFERROR(E16/E3,0))*20,0))&amp;REPT("░",20-ROUND((IFERROR(E16/E3,0))*20,0))&amp;" "&amp;TEXT(IFERROR(E16/E3,0),"0%")</f>
        <v/>
      </c>
      <c r="F19" s="57">
        <f>REPT("█",ROUND((IFERROR(F16/F3,0))*20,0))&amp;REPT("░",20-ROUND((IFERROR(F16/F3,0))*20,0))&amp;" "&amp;TEXT(IFERROR(F16/F3,0),"0%")</f>
        <v/>
      </c>
      <c r="G19" s="59">
        <f>REPT("█",ROUND((IFERROR(G16/G3,0))*20,0))&amp;REPT("░",20-ROUND((IFERROR(G16/G3,0))*20,0))&amp;" "&amp;TEXT(IFERROR(G16/G3,0),"0%")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1">
    <mergeCell ref="A1:G1"/>
  </mergeCells>
  <conditionalFormatting sqref="B17:G17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pageSetup orientation="landscape" fitToHeight="0" fitToWidth="1"/>
  <headerFooter>
    <oddHeader>&amp;CUltimate Budget Planner | Weekly Budget | Page &amp;P</oddHeader>
    <oddFooter>&amp;CGenerated with Budget Planner Pro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52B788"/>
    <outlinePr summaryBelow="1" summaryRight="1"/>
  </sheetPr>
  <dimension ref="A1:N2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13" customWidth="1" min="4" max="4"/>
    <col width="11" customWidth="1" min="5" max="5"/>
    <col width="12" customWidth="1" min="6" max="6"/>
    <col width="11" customWidth="1" min="7" max="7"/>
    <col width="11" customWidth="1" min="8" max="8"/>
    <col width="12" customWidth="1" min="9" max="9"/>
    <col width="13" customWidth="1" min="10" max="10"/>
    <col width="13" customWidth="1" min="11" max="11"/>
    <col width="13" customWidth="1" min="12" max="12"/>
    <col width="12" customWidth="1" min="13" max="13"/>
    <col width="16" customWidth="1" min="14" max="14"/>
  </cols>
  <sheetData>
    <row r="1" ht="40" customHeight="1">
      <c r="A1" s="2" t="inlineStr">
        <is>
          <t>💵 PAYCHECK BUDGET</t>
        </is>
      </c>
    </row>
    <row r="2" ht="28" customHeight="1">
      <c r="A2" s="1" t="inlineStr">
        <is>
          <t>Pay Date</t>
        </is>
      </c>
      <c r="B2" s="1" t="inlineStr">
        <is>
          <t>Gross Income</t>
        </is>
      </c>
      <c r="C2" s="1" t="inlineStr">
        <is>
          <t>Taxes %</t>
        </is>
      </c>
      <c r="D2" s="1" t="inlineStr">
        <is>
          <t>Net Income</t>
        </is>
      </c>
      <c r="E2" s="1" t="inlineStr">
        <is>
          <t>Bills</t>
        </is>
      </c>
      <c r="F2" s="1" t="inlineStr">
        <is>
          <t>Groceries</t>
        </is>
      </c>
      <c r="G2" s="1" t="inlineStr">
        <is>
          <t>Transport</t>
        </is>
      </c>
      <c r="H2" s="1" t="inlineStr">
        <is>
          <t>Savings</t>
        </is>
      </c>
      <c r="I2" s="1" t="inlineStr">
        <is>
          <t>Investments</t>
        </is>
      </c>
      <c r="J2" s="1" t="inlineStr">
        <is>
          <t>Debt Payment</t>
        </is>
      </c>
      <c r="K2" s="1" t="inlineStr">
        <is>
          <t>Entertainment</t>
        </is>
      </c>
      <c r="L2" s="1" t="inlineStr">
        <is>
          <t>Total Allocated</t>
        </is>
      </c>
      <c r="M2" s="1" t="inlineStr">
        <is>
          <t>Remaining</t>
        </is>
      </c>
      <c r="N2" s="1" t="inlineStr">
        <is>
          <t>Fully Allocated?</t>
        </is>
      </c>
    </row>
    <row r="3">
      <c r="A3" s="43" t="n">
        <v>46187</v>
      </c>
      <c r="B3" s="45" t="n">
        <v>1375</v>
      </c>
      <c r="C3" s="60" t="n">
        <v>0.22</v>
      </c>
      <c r="D3" s="10">
        <f>B3*(1-C3)</f>
        <v/>
      </c>
      <c r="E3" s="45" t="n">
        <v>500</v>
      </c>
      <c r="F3" s="45" t="n">
        <v>150</v>
      </c>
      <c r="G3" s="45" t="n">
        <v>80</v>
      </c>
      <c r="H3" s="45" t="n">
        <v>150</v>
      </c>
      <c r="I3" s="45" t="n">
        <v>50</v>
      </c>
      <c r="J3" s="45" t="n">
        <v>50</v>
      </c>
      <c r="K3" s="45" t="n">
        <v>40</v>
      </c>
      <c r="L3" s="10">
        <f>SUM(E3:K3)</f>
        <v/>
      </c>
      <c r="M3" s="10">
        <f>D3-L3</f>
        <v/>
      </c>
      <c r="N3" s="9">
        <f>IF(ROUND(M3,2)=0,"✅",IF(M3&gt;0,"✅ "&amp;TEXT(M3,"#,##0.00")&amp;" left","⚠️ "&amp;TEXT(-M3,"#,##0.00")&amp;" over"))</f>
        <v/>
      </c>
    </row>
    <row r="4">
      <c r="A4" s="47" t="n">
        <v>46194</v>
      </c>
      <c r="B4" s="49" t="n">
        <v>1375</v>
      </c>
      <c r="C4" s="61" t="n">
        <v>0.22</v>
      </c>
      <c r="D4" s="13">
        <f>B4*(1-C4)</f>
        <v/>
      </c>
      <c r="E4" s="49" t="n">
        <v>500</v>
      </c>
      <c r="F4" s="49" t="n">
        <v>150</v>
      </c>
      <c r="G4" s="49" t="n">
        <v>80</v>
      </c>
      <c r="H4" s="49" t="n">
        <v>150</v>
      </c>
      <c r="I4" s="49" t="n">
        <v>50</v>
      </c>
      <c r="J4" s="49" t="n">
        <v>50</v>
      </c>
      <c r="K4" s="49" t="n">
        <v>40</v>
      </c>
      <c r="L4" s="13">
        <f>SUM(E4:K4)</f>
        <v/>
      </c>
      <c r="M4" s="13">
        <f>D4-L4</f>
        <v/>
      </c>
      <c r="N4" s="12">
        <f>IF(ROUND(M4,2)=0,"✅",IF(M4&gt;0,"✅ "&amp;TEXT(M4,"#,##0.00")&amp;" left","⚠️ "&amp;TEXT(-M4,"#,##0.00")&amp;" over"))</f>
        <v/>
      </c>
    </row>
    <row r="5">
      <c r="A5" s="43" t="n">
        <v>46201</v>
      </c>
      <c r="B5" s="45" t="n">
        <v>1375</v>
      </c>
      <c r="C5" s="60" t="n">
        <v>0.22</v>
      </c>
      <c r="D5" s="10">
        <f>B5*(1-C5)</f>
        <v/>
      </c>
      <c r="E5" s="45" t="n">
        <v>500</v>
      </c>
      <c r="F5" s="45" t="n">
        <v>150</v>
      </c>
      <c r="G5" s="45" t="n">
        <v>80</v>
      </c>
      <c r="H5" s="45" t="n">
        <v>150</v>
      </c>
      <c r="I5" s="45" t="n">
        <v>50</v>
      </c>
      <c r="J5" s="45" t="n">
        <v>50</v>
      </c>
      <c r="K5" s="45" t="n">
        <v>40</v>
      </c>
      <c r="L5" s="10">
        <f>SUM(E5:K5)</f>
        <v/>
      </c>
      <c r="M5" s="10">
        <f>D5-L5</f>
        <v/>
      </c>
      <c r="N5" s="9">
        <f>IF(ROUND(M5,2)=0,"✅",IF(M5&gt;0,"✅ "&amp;TEXT(M5,"#,##0.00")&amp;" left","⚠️ "&amp;TEXT(-M5,"#,##0.00")&amp;" over"))</f>
        <v/>
      </c>
    </row>
    <row r="6">
      <c r="A6" s="47" t="n">
        <v>46208</v>
      </c>
      <c r="B6" s="49" t="n">
        <v>1375</v>
      </c>
      <c r="C6" s="61" t="n">
        <v>0.22</v>
      </c>
      <c r="D6" s="13">
        <f>B6*(1-C6)</f>
        <v/>
      </c>
      <c r="E6" s="49" t="n">
        <v>500</v>
      </c>
      <c r="F6" s="49" t="n">
        <v>150</v>
      </c>
      <c r="G6" s="49" t="n">
        <v>80</v>
      </c>
      <c r="H6" s="49" t="n">
        <v>150</v>
      </c>
      <c r="I6" s="49" t="n">
        <v>50</v>
      </c>
      <c r="J6" s="49" t="n">
        <v>50</v>
      </c>
      <c r="K6" s="49" t="n">
        <v>40</v>
      </c>
      <c r="L6" s="13">
        <f>SUM(E6:K6)</f>
        <v/>
      </c>
      <c r="M6" s="13">
        <f>D6-L6</f>
        <v/>
      </c>
      <c r="N6" s="12">
        <f>IF(ROUND(M6,2)=0,"✅",IF(M6&gt;0,"✅ "&amp;TEXT(M6,"#,##0.00")&amp;" left","⚠️ "&amp;TEXT(-M6,"#,##0.00")&amp;" over"))</f>
        <v/>
      </c>
    </row>
    <row r="7">
      <c r="A7" s="43" t="n">
        <v>46215</v>
      </c>
      <c r="B7" s="45" t="n">
        <v>1375</v>
      </c>
      <c r="C7" s="60" t="n">
        <v>0.22</v>
      </c>
      <c r="D7" s="10">
        <f>B7*(1-C7)</f>
        <v/>
      </c>
      <c r="E7" s="45" t="n">
        <v>500</v>
      </c>
      <c r="F7" s="45" t="n">
        <v>150</v>
      </c>
      <c r="G7" s="45" t="n">
        <v>80</v>
      </c>
      <c r="H7" s="45" t="n">
        <v>150</v>
      </c>
      <c r="I7" s="45" t="n">
        <v>50</v>
      </c>
      <c r="J7" s="45" t="n">
        <v>50</v>
      </c>
      <c r="K7" s="45" t="n">
        <v>40</v>
      </c>
      <c r="L7" s="10">
        <f>SUM(E7:K7)</f>
        <v/>
      </c>
      <c r="M7" s="10">
        <f>D7-L7</f>
        <v/>
      </c>
      <c r="N7" s="9">
        <f>IF(ROUND(M7,2)=0,"✅",IF(M7&gt;0,"✅ "&amp;TEXT(M7,"#,##0.00")&amp;" left","⚠️ "&amp;TEXT(-M7,"#,##0.00")&amp;" over"))</f>
        <v/>
      </c>
    </row>
    <row r="8">
      <c r="A8" s="47" t="n">
        <v>46222</v>
      </c>
      <c r="B8" s="49" t="n">
        <v>1375</v>
      </c>
      <c r="C8" s="61" t="n">
        <v>0.22</v>
      </c>
      <c r="D8" s="13">
        <f>B8*(1-C8)</f>
        <v/>
      </c>
      <c r="E8" s="49" t="n">
        <v>500</v>
      </c>
      <c r="F8" s="49" t="n">
        <v>150</v>
      </c>
      <c r="G8" s="49" t="n">
        <v>80</v>
      </c>
      <c r="H8" s="49" t="n">
        <v>150</v>
      </c>
      <c r="I8" s="49" t="n">
        <v>50</v>
      </c>
      <c r="J8" s="49" t="n">
        <v>50</v>
      </c>
      <c r="K8" s="49" t="n">
        <v>40</v>
      </c>
      <c r="L8" s="13">
        <f>SUM(E8:K8)</f>
        <v/>
      </c>
      <c r="M8" s="13">
        <f>D8-L8</f>
        <v/>
      </c>
      <c r="N8" s="12">
        <f>IF(ROUND(M8,2)=0,"✅",IF(M8&gt;0,"✅ "&amp;TEXT(M8,"#,##0.00")&amp;" left","⚠️ "&amp;TEXT(-M8,"#,##0.00")&amp;" over"))</f>
        <v/>
      </c>
    </row>
    <row r="9">
      <c r="A9" s="43" t="n">
        <v>46229</v>
      </c>
      <c r="B9" s="45" t="n">
        <v>1375</v>
      </c>
      <c r="C9" s="60" t="n">
        <v>0.22</v>
      </c>
      <c r="D9" s="10">
        <f>B9*(1-C9)</f>
        <v/>
      </c>
      <c r="E9" s="45" t="n">
        <v>500</v>
      </c>
      <c r="F9" s="45" t="n">
        <v>150</v>
      </c>
      <c r="G9" s="45" t="n">
        <v>80</v>
      </c>
      <c r="H9" s="45" t="n">
        <v>150</v>
      </c>
      <c r="I9" s="45" t="n">
        <v>50</v>
      </c>
      <c r="J9" s="45" t="n">
        <v>50</v>
      </c>
      <c r="K9" s="45" t="n">
        <v>40</v>
      </c>
      <c r="L9" s="10">
        <f>SUM(E9:K9)</f>
        <v/>
      </c>
      <c r="M9" s="10">
        <f>D9-L9</f>
        <v/>
      </c>
      <c r="N9" s="9">
        <f>IF(ROUND(M9,2)=0,"✅",IF(M9&gt;0,"✅ "&amp;TEXT(M9,"#,##0.00")&amp;" left","⚠️ "&amp;TEXT(-M9,"#,##0.00")&amp;" over"))</f>
        <v/>
      </c>
    </row>
    <row r="10">
      <c r="A10" s="47" t="n">
        <v>46236</v>
      </c>
      <c r="B10" s="49" t="n">
        <v>1375</v>
      </c>
      <c r="C10" s="61" t="n">
        <v>0.22</v>
      </c>
      <c r="D10" s="13">
        <f>B10*(1-C10)</f>
        <v/>
      </c>
      <c r="E10" s="49" t="n">
        <v>500</v>
      </c>
      <c r="F10" s="49" t="n">
        <v>150</v>
      </c>
      <c r="G10" s="49" t="n">
        <v>80</v>
      </c>
      <c r="H10" s="49" t="n">
        <v>150</v>
      </c>
      <c r="I10" s="49" t="n">
        <v>50</v>
      </c>
      <c r="J10" s="49" t="n">
        <v>50</v>
      </c>
      <c r="K10" s="49" t="n">
        <v>40</v>
      </c>
      <c r="L10" s="13">
        <f>SUM(E10:K10)</f>
        <v/>
      </c>
      <c r="M10" s="13">
        <f>D10-L10</f>
        <v/>
      </c>
      <c r="N10" s="12">
        <f>IF(ROUND(M10,2)=0,"✅",IF(M10&gt;0,"✅ "&amp;TEXT(M10,"#,##0.00")&amp;" left","⚠️ "&amp;TEXT(-M10,"#,##0.00")&amp;" over"))</f>
        <v/>
      </c>
    </row>
    <row r="11">
      <c r="A11" s="43" t="n">
        <v>46243</v>
      </c>
      <c r="B11" s="45" t="n">
        <v>1375</v>
      </c>
      <c r="C11" s="60" t="n">
        <v>0.22</v>
      </c>
      <c r="D11" s="10">
        <f>B11*(1-C11)</f>
        <v/>
      </c>
      <c r="E11" s="45" t="n">
        <v>500</v>
      </c>
      <c r="F11" s="45" t="n">
        <v>150</v>
      </c>
      <c r="G11" s="45" t="n">
        <v>80</v>
      </c>
      <c r="H11" s="45" t="n">
        <v>150</v>
      </c>
      <c r="I11" s="45" t="n">
        <v>50</v>
      </c>
      <c r="J11" s="45" t="n">
        <v>50</v>
      </c>
      <c r="K11" s="45" t="n">
        <v>40</v>
      </c>
      <c r="L11" s="10">
        <f>SUM(E11:K11)</f>
        <v/>
      </c>
      <c r="M11" s="10">
        <f>D11-L11</f>
        <v/>
      </c>
      <c r="N11" s="9">
        <f>IF(ROUND(M11,2)=0,"✅",IF(M11&gt;0,"✅ "&amp;TEXT(M11,"#,##0.00")&amp;" left","⚠️ "&amp;TEXT(-M11,"#,##0.00")&amp;" over"))</f>
        <v/>
      </c>
    </row>
    <row r="12">
      <c r="A12" s="47" t="n">
        <v>46250</v>
      </c>
      <c r="B12" s="49" t="n">
        <v>1375</v>
      </c>
      <c r="C12" s="61" t="n">
        <v>0.22</v>
      </c>
      <c r="D12" s="13">
        <f>B12*(1-C12)</f>
        <v/>
      </c>
      <c r="E12" s="49" t="n">
        <v>500</v>
      </c>
      <c r="F12" s="49" t="n">
        <v>150</v>
      </c>
      <c r="G12" s="49" t="n">
        <v>80</v>
      </c>
      <c r="H12" s="49" t="n">
        <v>150</v>
      </c>
      <c r="I12" s="49" t="n">
        <v>50</v>
      </c>
      <c r="J12" s="49" t="n">
        <v>50</v>
      </c>
      <c r="K12" s="49" t="n">
        <v>40</v>
      </c>
      <c r="L12" s="13">
        <f>SUM(E12:K12)</f>
        <v/>
      </c>
      <c r="M12" s="13">
        <f>D12-L12</f>
        <v/>
      </c>
      <c r="N12" s="12">
        <f>IF(ROUND(M12,2)=0,"✅",IF(M12&gt;0,"✅ "&amp;TEXT(M12,"#,##0.00")&amp;" left","⚠️ "&amp;TEXT(-M12,"#,##0.00")&amp;" over"))</f>
        <v/>
      </c>
    </row>
    <row r="13">
      <c r="A13" s="43" t="n">
        <v>46257</v>
      </c>
      <c r="B13" s="45" t="n">
        <v>1375</v>
      </c>
      <c r="C13" s="60" t="n">
        <v>0.22</v>
      </c>
      <c r="D13" s="10">
        <f>B13*(1-C13)</f>
        <v/>
      </c>
      <c r="E13" s="45" t="n">
        <v>500</v>
      </c>
      <c r="F13" s="45" t="n">
        <v>150</v>
      </c>
      <c r="G13" s="45" t="n">
        <v>80</v>
      </c>
      <c r="H13" s="45" t="n">
        <v>150</v>
      </c>
      <c r="I13" s="45" t="n">
        <v>50</v>
      </c>
      <c r="J13" s="45" t="n">
        <v>50</v>
      </c>
      <c r="K13" s="45" t="n">
        <v>40</v>
      </c>
      <c r="L13" s="10">
        <f>SUM(E13:K13)</f>
        <v/>
      </c>
      <c r="M13" s="10">
        <f>D13-L13</f>
        <v/>
      </c>
      <c r="N13" s="9">
        <f>IF(ROUND(M13,2)=0,"✅",IF(M13&gt;0,"✅ "&amp;TEXT(M13,"#,##0.00")&amp;" left","⚠️ "&amp;TEXT(-M13,"#,##0.00")&amp;" over"))</f>
        <v/>
      </c>
    </row>
    <row r="14">
      <c r="A14" s="47" t="n">
        <v>46264</v>
      </c>
      <c r="B14" s="49" t="n">
        <v>1375</v>
      </c>
      <c r="C14" s="61" t="n">
        <v>0.22</v>
      </c>
      <c r="D14" s="13">
        <f>B14*(1-C14)</f>
        <v/>
      </c>
      <c r="E14" s="49" t="n">
        <v>500</v>
      </c>
      <c r="F14" s="49" t="n">
        <v>150</v>
      </c>
      <c r="G14" s="49" t="n">
        <v>80</v>
      </c>
      <c r="H14" s="49" t="n">
        <v>150</v>
      </c>
      <c r="I14" s="49" t="n">
        <v>50</v>
      </c>
      <c r="J14" s="49" t="n">
        <v>50</v>
      </c>
      <c r="K14" s="49" t="n">
        <v>40</v>
      </c>
      <c r="L14" s="13">
        <f>SUM(E14:K14)</f>
        <v/>
      </c>
      <c r="M14" s="13">
        <f>D14-L14</f>
        <v/>
      </c>
      <c r="N14" s="12">
        <f>IF(ROUND(M14,2)=0,"✅",IF(M14&gt;0,"✅ "&amp;TEXT(M14,"#,##0.00")&amp;" left","⚠️ "&amp;TEXT(-M14,"#,##0.00")&amp;" over"))</f>
        <v/>
      </c>
    </row>
    <row r="16">
      <c r="A16" s="62" t="inlineStr">
        <is>
          <t>Totals</t>
        </is>
      </c>
      <c r="B16" s="63">
        <f>SUM(B3:B14)</f>
        <v/>
      </c>
      <c r="D16" s="63">
        <f>SUM(D3:D14)</f>
        <v/>
      </c>
      <c r="E16" s="63">
        <f>SUM(E3:E14)</f>
        <v/>
      </c>
      <c r="F16" s="63">
        <f>SUM(F3:F14)</f>
        <v/>
      </c>
      <c r="G16" s="63">
        <f>SUM(G3:G14)</f>
        <v/>
      </c>
      <c r="H16" s="63">
        <f>SUM(H3:H14)</f>
        <v/>
      </c>
      <c r="I16" s="63">
        <f>SUM(I3:I14)</f>
        <v/>
      </c>
      <c r="J16" s="63">
        <f>SUM(J3:J14)</f>
        <v/>
      </c>
      <c r="K16" s="63">
        <f>SUM(K3:K14)</f>
        <v/>
      </c>
      <c r="L16" s="63">
        <f>SUM(L3:L14)</f>
        <v/>
      </c>
      <c r="M16" s="63">
        <f>SUM(M3:M14)</f>
        <v/>
      </c>
    </row>
    <row r="17">
      <c r="A17" s="62" t="inlineStr">
        <is>
          <t>Average per Paycheck</t>
        </is>
      </c>
      <c r="B17" s="64">
        <f>AVERAGE(B3:B14)</f>
        <v/>
      </c>
      <c r="D17" s="64">
        <f>AVERAGE(D3:D14)</f>
        <v/>
      </c>
      <c r="E17" s="64">
        <f>AVERAGE(E3:E14)</f>
        <v/>
      </c>
      <c r="F17" s="64">
        <f>AVERAGE(F3:F14)</f>
        <v/>
      </c>
      <c r="G17" s="64">
        <f>AVERAGE(G3:G14)</f>
        <v/>
      </c>
      <c r="H17" s="64">
        <f>AVERAGE(H3:H14)</f>
        <v/>
      </c>
      <c r="I17" s="64">
        <f>AVERAGE(I3:I14)</f>
        <v/>
      </c>
      <c r="J17" s="64">
        <f>AVERAGE(J3:J14)</f>
        <v/>
      </c>
      <c r="K17" s="64">
        <f>AVERAGE(K3:K14)</f>
        <v/>
      </c>
      <c r="L17" s="64">
        <f>AVERAGE(L3:L14)</f>
        <v/>
      </c>
      <c r="M17" s="64">
        <f>AVERAGE(M3:M14)</f>
        <v/>
      </c>
    </row>
    <row r="18">
      <c r="A18" s="62" t="inlineStr">
        <is>
          <t>Savings Rate</t>
        </is>
      </c>
      <c r="B18" s="65">
        <f>(H16+I16)/D16</f>
        <v/>
      </c>
    </row>
    <row r="20" ht="32" customHeight="1">
      <c r="A20" s="4" t="inlineStr">
        <is>
          <t>📐 50/30/20 ALLOCATION CHECK</t>
        </is>
      </c>
    </row>
    <row r="21">
      <c r="A21" s="1" t="inlineStr">
        <is>
          <t>Allocation Group</t>
        </is>
      </c>
      <c r="E21" s="1" t="inlineStr">
        <is>
          <t>Your %</t>
        </is>
      </c>
      <c r="F21" s="1" t="inlineStr">
        <is>
          <t>Target %</t>
        </is>
      </c>
      <c r="G21" s="1" t="inlineStr">
        <is>
          <t>Status</t>
        </is>
      </c>
    </row>
    <row r="22">
      <c r="A22" s="9" t="inlineStr">
        <is>
          <t>Needs (Bills, Groceries, Transport)</t>
        </is>
      </c>
      <c r="B22" s="9" t="n"/>
      <c r="C22" s="9" t="n"/>
      <c r="D22" s="9" t="n"/>
      <c r="E22" s="46">
        <f>(E16+F16+G16)/D16</f>
        <v/>
      </c>
      <c r="F22" s="46" t="n">
        <v>0.5</v>
      </c>
      <c r="G22" s="9">
        <f>IF(E22&lt;=F22*1.1,"✅ On Track","⚠️ Above Target")</f>
        <v/>
      </c>
      <c r="H22" s="9" t="n"/>
      <c r="I22" s="9" t="n"/>
      <c r="J22" s="9" t="n"/>
      <c r="K22" s="9" t="n"/>
      <c r="L22" s="9" t="n"/>
      <c r="M22" s="9" t="n"/>
      <c r="N22" s="9" t="n"/>
    </row>
    <row r="23">
      <c r="A23" s="12" t="inlineStr">
        <is>
          <t>Wants (Entertainment)</t>
        </is>
      </c>
      <c r="B23" s="12" t="n"/>
      <c r="C23" s="12" t="n"/>
      <c r="D23" s="12" t="n"/>
      <c r="E23" s="50">
        <f>K16/D16</f>
        <v/>
      </c>
      <c r="F23" s="50" t="n">
        <v>0.3</v>
      </c>
      <c r="G23" s="12">
        <f>IF(E23&lt;=F23*1.1,"✅ On Track","⚠️ Above Target")</f>
        <v/>
      </c>
      <c r="H23" s="12" t="n"/>
      <c r="I23" s="12" t="n"/>
      <c r="J23" s="12" t="n"/>
      <c r="K23" s="12" t="n"/>
      <c r="L23" s="12" t="n"/>
      <c r="M23" s="12" t="n"/>
      <c r="N23" s="12" t="n"/>
    </row>
    <row r="24">
      <c r="A24" s="9" t="inlineStr">
        <is>
          <t>Savings &amp; Debt (Savings, Investments, Debt)</t>
        </is>
      </c>
      <c r="B24" s="9" t="n"/>
      <c r="C24" s="9" t="n"/>
      <c r="D24" s="9" t="n"/>
      <c r="E24" s="46">
        <f>(H16+I16+J16)/D16</f>
        <v/>
      </c>
      <c r="F24" s="46" t="n">
        <v>0.2</v>
      </c>
      <c r="G24" s="9">
        <f>IF(E24&lt;=F24*1.1,"✅ On Track","⚠️ Above Target")</f>
        <v/>
      </c>
      <c r="H24" s="9" t="n"/>
      <c r="I24" s="9" t="n"/>
      <c r="J24" s="9" t="n"/>
      <c r="K24" s="9" t="n"/>
      <c r="L24" s="9" t="n"/>
      <c r="M24" s="9" t="n"/>
      <c r="N24" s="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11">
    <mergeCell ref="A23:D23"/>
    <mergeCell ref="A22:D22"/>
    <mergeCell ref="G21:N21"/>
    <mergeCell ref="A20:N20"/>
    <mergeCell ref="A21:D21"/>
    <mergeCell ref="B18:N18"/>
    <mergeCell ref="G24:N24"/>
    <mergeCell ref="A24:D24"/>
    <mergeCell ref="G22:N22"/>
    <mergeCell ref="G23:N23"/>
    <mergeCell ref="A1:N1"/>
  </mergeCells>
  <conditionalFormatting sqref="M3:M1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pageSetup orientation="landscape" fitToHeight="0" fitToWidth="1"/>
  <headerFooter>
    <oddHeader>&amp;CUltimate Budget Planner | Paycheck Budget | Page &amp;P</oddHeader>
    <oddFooter>&amp;CGenerated with Budget Planner Pro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74C69D"/>
    <outlinePr summaryBelow="1" summaryRight="1"/>
  </sheetPr>
  <dimension ref="A1:D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2" t="inlineStr">
        <is>
          <t>📋 BIWEEKLY BUDGET</t>
        </is>
      </c>
    </row>
    <row r="2" ht="32" customHeight="1">
      <c r="A2" s="28" t="inlineStr">
        <is>
          <t>Category</t>
        </is>
      </c>
      <c r="B2" s="30" t="inlineStr">
        <is>
          <t>PAYCHECK 1 (1st–15th)</t>
        </is>
      </c>
      <c r="C2" s="30" t="inlineStr">
        <is>
          <t>PAYCHECK 2 (16th–End)</t>
        </is>
      </c>
      <c r="D2" s="31" t="inlineStr">
        <is>
          <t>Monthly Total</t>
        </is>
      </c>
    </row>
    <row r="3">
      <c r="A3" s="52" t="inlineStr">
        <is>
          <t>Net Income (Paycheck)</t>
        </is>
      </c>
      <c r="B3" s="24" t="n">
        <v>1900</v>
      </c>
      <c r="C3" s="24" t="n">
        <v>1900</v>
      </c>
      <c r="D3" s="54">
        <f>B3+C3</f>
        <v/>
      </c>
    </row>
    <row r="4">
      <c r="A4" s="52" t="inlineStr">
        <is>
          <t>Rollover from Previous Period</t>
        </is>
      </c>
      <c r="B4" s="10" t="n">
        <v>0</v>
      </c>
      <c r="C4" s="10">
        <f>B13</f>
        <v/>
      </c>
      <c r="D4" s="33" t="inlineStr">
        <is>
          <t>—</t>
        </is>
      </c>
    </row>
    <row r="5">
      <c r="A5" s="32" t="inlineStr">
        <is>
          <t>Available Funds</t>
        </is>
      </c>
      <c r="B5" s="16">
        <f>B3+B4</f>
        <v/>
      </c>
      <c r="C5" s="16">
        <f>C3+C4</f>
        <v/>
      </c>
      <c r="D5" s="55">
        <f>B5+C5</f>
        <v/>
      </c>
    </row>
    <row r="6">
      <c r="A6" s="66" t="inlineStr">
        <is>
          <t>💸 EXPENSES</t>
        </is>
      </c>
      <c r="B6" s="9" t="n"/>
      <c r="C6" s="9" t="n"/>
      <c r="D6" s="53" t="n"/>
    </row>
    <row r="7">
      <c r="A7" s="52" t="inlineStr">
        <is>
          <t>Fixed Bills (Rent, Insurance, Subscriptions)</t>
        </is>
      </c>
      <c r="B7" s="24" t="n">
        <v>1500</v>
      </c>
      <c r="C7" s="24" t="n">
        <v>200</v>
      </c>
      <c r="D7" s="54">
        <f>B7+C7</f>
        <v/>
      </c>
    </row>
    <row r="8">
      <c r="A8" s="52" t="inlineStr">
        <is>
          <t>Variable Expenses (Food, Gas, Entertainment)</t>
        </is>
      </c>
      <c r="B8" s="24" t="n">
        <v>350</v>
      </c>
      <c r="C8" s="24" t="n">
        <v>350</v>
      </c>
      <c r="D8" s="54">
        <f>B8+C8</f>
        <v/>
      </c>
    </row>
    <row r="9">
      <c r="A9" s="52" t="inlineStr">
        <is>
          <t>Savings</t>
        </is>
      </c>
      <c r="B9" s="24" t="n">
        <v>150</v>
      </c>
      <c r="C9" s="24" t="n">
        <v>150</v>
      </c>
      <c r="D9" s="54">
        <f>B9+C9</f>
        <v/>
      </c>
    </row>
    <row r="10">
      <c r="A10" s="52" t="inlineStr">
        <is>
          <t>Investments</t>
        </is>
      </c>
      <c r="B10" s="24" t="n">
        <v>50</v>
      </c>
      <c r="C10" s="24" t="n">
        <v>50</v>
      </c>
      <c r="D10" s="54">
        <f>B10+C10</f>
        <v/>
      </c>
    </row>
    <row r="11">
      <c r="A11" s="52" t="inlineStr">
        <is>
          <t>Debt Payments</t>
        </is>
      </c>
      <c r="B11" s="24" t="n">
        <v>100</v>
      </c>
      <c r="C11" s="24" t="n">
        <v>100</v>
      </c>
      <c r="D11" s="54">
        <f>B11+C11</f>
        <v/>
      </c>
    </row>
    <row r="12">
      <c r="A12" s="32" t="inlineStr">
        <is>
          <t>Total Expenses</t>
        </is>
      </c>
      <c r="B12" s="67">
        <f>SUM(B7:B11)</f>
        <v/>
      </c>
      <c r="C12" s="67">
        <f>SUM(C7:C11)</f>
        <v/>
      </c>
      <c r="D12" s="51">
        <f>SUM(D7:D11)</f>
        <v/>
      </c>
    </row>
    <row r="13">
      <c r="A13" s="36" t="inlineStr">
        <is>
          <t>Remaining Balance</t>
        </is>
      </c>
      <c r="B13" s="68">
        <f>B5-B12</f>
        <v/>
      </c>
      <c r="C13" s="68">
        <f>C5-C12</f>
        <v/>
      </c>
      <c r="D13" s="69">
        <f>C13</f>
        <v/>
      </c>
    </row>
    <row r="15">
      <c r="A15" s="39" t="inlineStr">
        <is>
          <t>💡 Any leftover (or shortfall) from Paycheck 1 automatically rolls into Paycheck 2's available funds, so you always see a true running balance.</t>
        </is>
      </c>
    </row>
    <row r="16"/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3">
    <mergeCell ref="A1:D1"/>
    <mergeCell ref="A15:D16"/>
    <mergeCell ref="A6:D6"/>
  </mergeCells>
  <conditionalFormatting sqref="B13:D13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pageSetup orientation="landscape" fitToHeight="0" fitToWidth="1"/>
  <headerFooter>
    <oddHeader>&amp;CUltimate Budget Planner | Biweekly Budget | Page &amp;P</oddHeader>
    <oddFooter>&amp;CGenerated with Budget Planner Pro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E63946"/>
    <outlinePr summaryBelow="1" summaryRight="1"/>
  </sheetPr>
  <dimension ref="A1:M5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  <col width="14" customWidth="1" min="5" max="5"/>
    <col width="16" customWidth="1" min="6" max="6"/>
    <col width="14" customWidth="1" min="7" max="7"/>
    <col width="12" customWidth="1" min="8" max="8"/>
    <col width="25" customWidth="1" min="9" max="9"/>
    <col hidden="1" width="14" customWidth="1" min="10" max="10"/>
    <col hidden="1" width="8" customWidth="1" min="11" max="11"/>
    <col hidden="1" width="8" customWidth="1" min="12" max="12"/>
    <col hidden="1" width="8" customWidth="1" min="13" max="13"/>
  </cols>
  <sheetData>
    <row r="1" ht="40" customHeight="1">
      <c r="A1" s="2" t="inlineStr">
        <is>
          <t>💳 EXPENSE TRACKER</t>
        </is>
      </c>
    </row>
    <row r="2" ht="28" customHeight="1">
      <c r="A2" s="40" t="inlineStr">
        <is>
          <t>Total Spent</t>
        </is>
      </c>
      <c r="B2" s="41">
        <f>SUM(E4:E503)</f>
        <v/>
      </c>
      <c r="C2" s="40" t="inlineStr">
        <is>
          <t>Needs Total</t>
        </is>
      </c>
      <c r="D2" s="41">
        <f>SUMIF(G4:G503,"Need",E4:E503)</f>
        <v/>
      </c>
      <c r="E2" s="40" t="inlineStr">
        <is>
          <t>Wants Total</t>
        </is>
      </c>
      <c r="F2" s="41">
        <f>SUMIF(G4:G503,"Want",E4:E503)</f>
        <v/>
      </c>
      <c r="G2" s="40" t="inlineStr">
        <is>
          <t>Largest Purchase</t>
        </is>
      </c>
      <c r="H2" s="41">
        <f>MAX(E4:E503)</f>
        <v/>
      </c>
      <c r="I2" s="40" t="inlineStr">
        <is>
          <t>Transactions</t>
        </is>
      </c>
      <c r="J2" s="70">
        <f>COUNTA(B4:B503)</f>
        <v/>
      </c>
      <c r="K2" s="71" t="n"/>
    </row>
    <row r="3" ht="28" customHeight="1">
      <c r="A3" s="1" t="inlineStr">
        <is>
          <t>Date</t>
        </is>
      </c>
      <c r="B3" s="1" t="inlineStr">
        <is>
          <t>Merchant</t>
        </is>
      </c>
      <c r="C3" s="1" t="inlineStr">
        <is>
          <t>Category</t>
        </is>
      </c>
      <c r="D3" s="1" t="inlineStr">
        <is>
          <t>Subcategory</t>
        </is>
      </c>
      <c r="E3" s="1" t="inlineStr">
        <is>
          <t>Amount</t>
        </is>
      </c>
      <c r="F3" s="1" t="inlineStr">
        <is>
          <t>Payment Method</t>
        </is>
      </c>
      <c r="G3" s="1" t="inlineStr">
        <is>
          <t>Need or Want</t>
        </is>
      </c>
      <c r="H3" s="1" t="inlineStr">
        <is>
          <t>Recurring?</t>
        </is>
      </c>
      <c r="I3" s="1" t="inlineStr">
        <is>
          <t>Notes</t>
        </is>
      </c>
      <c r="J3" s="1" t="inlineStr">
        <is>
          <t>Month</t>
        </is>
      </c>
      <c r="K3" s="1" t="inlineStr">
        <is>
          <t>Week#</t>
        </is>
      </c>
      <c r="L3" s="1" t="inlineStr">
        <is>
          <t>Month#</t>
        </is>
      </c>
      <c r="M3" s="1" t="inlineStr">
        <is>
          <t>Year</t>
        </is>
      </c>
    </row>
    <row r="4">
      <c r="A4" s="43" t="n">
        <v>46174</v>
      </c>
      <c r="B4" s="44" t="inlineStr">
        <is>
          <t>Whole Foods</t>
        </is>
      </c>
      <c r="C4" s="44" t="inlineStr">
        <is>
          <t>Food &amp; Dining</t>
        </is>
      </c>
      <c r="D4" s="44" t="inlineStr">
        <is>
          <t>Groceries</t>
        </is>
      </c>
      <c r="E4" s="72" t="n">
        <v>125.4</v>
      </c>
      <c r="F4" s="44" t="inlineStr">
        <is>
          <t>Debit Card</t>
        </is>
      </c>
      <c r="G4" s="44" t="inlineStr">
        <is>
          <t>Need</t>
        </is>
      </c>
      <c r="H4" s="44" t="inlineStr">
        <is>
          <t>No</t>
        </is>
      </c>
      <c r="I4" s="44" t="inlineStr"/>
      <c r="J4" s="9">
        <f>IF(A4="","",TEXT(A4,"MMMM YYYY"))</f>
        <v/>
      </c>
      <c r="K4" s="9">
        <f>IF(A4="","",WEEKNUM(A4))</f>
        <v/>
      </c>
      <c r="L4" s="9">
        <f>IF(A4="","",MONTH(A4))</f>
        <v/>
      </c>
      <c r="M4" s="9">
        <f>IF(A4="","",YEAR(A4))</f>
        <v/>
      </c>
    </row>
    <row r="5">
      <c r="A5" s="47" t="n">
        <v>46175</v>
      </c>
      <c r="B5" s="48" t="inlineStr">
        <is>
          <t>Amazon</t>
        </is>
      </c>
      <c r="C5" s="48" t="inlineStr">
        <is>
          <t>Shopping</t>
        </is>
      </c>
      <c r="D5" s="48" t="inlineStr">
        <is>
          <t>Electronics</t>
        </is>
      </c>
      <c r="E5" s="73" t="n">
        <v>89.98999999999999</v>
      </c>
      <c r="F5" s="48" t="inlineStr">
        <is>
          <t>Credit Card</t>
        </is>
      </c>
      <c r="G5" s="48" t="inlineStr">
        <is>
          <t>Want</t>
        </is>
      </c>
      <c r="H5" s="48" t="inlineStr">
        <is>
          <t>No</t>
        </is>
      </c>
      <c r="I5" s="48" t="inlineStr"/>
      <c r="J5" s="12">
        <f>IF(A5="","",TEXT(A5,"MMMM YYYY"))</f>
        <v/>
      </c>
      <c r="K5" s="12">
        <f>IF(A5="","",WEEKNUM(A5))</f>
        <v/>
      </c>
      <c r="L5" s="12">
        <f>IF(A5="","",MONTH(A5))</f>
        <v/>
      </c>
      <c r="M5" s="12">
        <f>IF(A5="","",YEAR(A5))</f>
        <v/>
      </c>
    </row>
    <row r="6">
      <c r="A6" s="43" t="n">
        <v>46175</v>
      </c>
      <c r="B6" s="44" t="inlineStr">
        <is>
          <t>Shell Gas</t>
        </is>
      </c>
      <c r="C6" s="44" t="inlineStr">
        <is>
          <t>Transportation</t>
        </is>
      </c>
      <c r="D6" s="44" t="inlineStr">
        <is>
          <t>Gas</t>
        </is>
      </c>
      <c r="E6" s="72" t="n">
        <v>52.3</v>
      </c>
      <c r="F6" s="44" t="inlineStr">
        <is>
          <t>Credit Card</t>
        </is>
      </c>
      <c r="G6" s="44" t="inlineStr">
        <is>
          <t>Need</t>
        </is>
      </c>
      <c r="H6" s="44" t="inlineStr">
        <is>
          <t>No</t>
        </is>
      </c>
      <c r="I6" s="44" t="inlineStr"/>
      <c r="J6" s="9">
        <f>IF(A6="","",TEXT(A6,"MMMM YYYY"))</f>
        <v/>
      </c>
      <c r="K6" s="9">
        <f>IF(A6="","",WEEKNUM(A6))</f>
        <v/>
      </c>
      <c r="L6" s="9">
        <f>IF(A6="","",MONTH(A6))</f>
        <v/>
      </c>
      <c r="M6" s="9">
        <f>IF(A6="","",YEAR(A6))</f>
        <v/>
      </c>
    </row>
    <row r="7">
      <c r="A7" s="47" t="n">
        <v>46176</v>
      </c>
      <c r="B7" s="48" t="inlineStr">
        <is>
          <t>Netflix</t>
        </is>
      </c>
      <c r="C7" s="48" t="inlineStr">
        <is>
          <t>Entertainment</t>
        </is>
      </c>
      <c r="D7" s="48" t="inlineStr">
        <is>
          <t>Streaming</t>
        </is>
      </c>
      <c r="E7" s="73" t="n">
        <v>15.49</v>
      </c>
      <c r="F7" s="48" t="inlineStr">
        <is>
          <t>Credit Card</t>
        </is>
      </c>
      <c r="G7" s="48" t="inlineStr">
        <is>
          <t>Want</t>
        </is>
      </c>
      <c r="H7" s="48" t="inlineStr">
        <is>
          <t>Yes</t>
        </is>
      </c>
      <c r="I7" s="48" t="inlineStr"/>
      <c r="J7" s="12">
        <f>IF(A7="","",TEXT(A7,"MMMM YYYY"))</f>
        <v/>
      </c>
      <c r="K7" s="12">
        <f>IF(A7="","",WEEKNUM(A7))</f>
        <v/>
      </c>
      <c r="L7" s="12">
        <f>IF(A7="","",MONTH(A7))</f>
        <v/>
      </c>
      <c r="M7" s="12">
        <f>IF(A7="","",YEAR(A7))</f>
        <v/>
      </c>
    </row>
    <row r="8">
      <c r="A8" s="43" t="n">
        <v>46176</v>
      </c>
      <c r="B8" s="44" t="inlineStr">
        <is>
          <t>Spotify</t>
        </is>
      </c>
      <c r="C8" s="44" t="inlineStr">
        <is>
          <t>Entertainment</t>
        </is>
      </c>
      <c r="D8" s="44" t="inlineStr">
        <is>
          <t>Streaming</t>
        </is>
      </c>
      <c r="E8" s="72" t="n">
        <v>11.99</v>
      </c>
      <c r="F8" s="44" t="inlineStr">
        <is>
          <t>Credit Card</t>
        </is>
      </c>
      <c r="G8" s="44" t="inlineStr">
        <is>
          <t>Want</t>
        </is>
      </c>
      <c r="H8" s="44" t="inlineStr">
        <is>
          <t>Yes</t>
        </is>
      </c>
      <c r="I8" s="44" t="inlineStr"/>
      <c r="J8" s="9">
        <f>IF(A8="","",TEXT(A8,"MMMM YYYY"))</f>
        <v/>
      </c>
      <c r="K8" s="9">
        <f>IF(A8="","",WEEKNUM(A8))</f>
        <v/>
      </c>
      <c r="L8" s="9">
        <f>IF(A8="","",MONTH(A8))</f>
        <v/>
      </c>
      <c r="M8" s="9">
        <f>IF(A8="","",YEAR(A8))</f>
        <v/>
      </c>
    </row>
    <row r="9">
      <c r="A9" s="47" t="n">
        <v>46177</v>
      </c>
      <c r="B9" s="48" t="inlineStr">
        <is>
          <t>Target</t>
        </is>
      </c>
      <c r="C9" s="48" t="inlineStr">
        <is>
          <t>Shopping</t>
        </is>
      </c>
      <c r="D9" s="48" t="inlineStr">
        <is>
          <t>Clothing</t>
        </is>
      </c>
      <c r="E9" s="73" t="n">
        <v>64.2</v>
      </c>
      <c r="F9" s="48" t="inlineStr">
        <is>
          <t>Debit Card</t>
        </is>
      </c>
      <c r="G9" s="48" t="inlineStr">
        <is>
          <t>Want</t>
        </is>
      </c>
      <c r="H9" s="48" t="inlineStr">
        <is>
          <t>No</t>
        </is>
      </c>
      <c r="I9" s="48" t="inlineStr"/>
      <c r="J9" s="12">
        <f>IF(A9="","",TEXT(A9,"MMMM YYYY"))</f>
        <v/>
      </c>
      <c r="K9" s="12">
        <f>IF(A9="","",WEEKNUM(A9))</f>
        <v/>
      </c>
      <c r="L9" s="12">
        <f>IF(A9="","",MONTH(A9))</f>
        <v/>
      </c>
      <c r="M9" s="12">
        <f>IF(A9="","",YEAR(A9))</f>
        <v/>
      </c>
    </row>
    <row r="10">
      <c r="A10" s="43" t="n">
        <v>46178</v>
      </c>
      <c r="B10" s="44" t="inlineStr">
        <is>
          <t>CVS Pharmacy</t>
        </is>
      </c>
      <c r="C10" s="44" t="inlineStr">
        <is>
          <t>Healthcare</t>
        </is>
      </c>
      <c r="D10" s="44" t="inlineStr">
        <is>
          <t>Pharmacy</t>
        </is>
      </c>
      <c r="E10" s="72" t="n">
        <v>23.75</v>
      </c>
      <c r="F10" s="44" t="inlineStr">
        <is>
          <t>Debit Card</t>
        </is>
      </c>
      <c r="G10" s="44" t="inlineStr">
        <is>
          <t>Need</t>
        </is>
      </c>
      <c r="H10" s="44" t="inlineStr">
        <is>
          <t>No</t>
        </is>
      </c>
      <c r="I10" s="44" t="inlineStr"/>
      <c r="J10" s="9">
        <f>IF(A10="","",TEXT(A10,"MMMM YYYY"))</f>
        <v/>
      </c>
      <c r="K10" s="9">
        <f>IF(A10="","",WEEKNUM(A10))</f>
        <v/>
      </c>
      <c r="L10" s="9">
        <f>IF(A10="","",MONTH(A10))</f>
        <v/>
      </c>
      <c r="M10" s="9">
        <f>IF(A10="","",YEAR(A10))</f>
        <v/>
      </c>
    </row>
    <row r="11">
      <c r="A11" s="47" t="n">
        <v>46179</v>
      </c>
      <c r="B11" s="48" t="inlineStr">
        <is>
          <t>Uber</t>
        </is>
      </c>
      <c r="C11" s="48" t="inlineStr">
        <is>
          <t>Transportation</t>
        </is>
      </c>
      <c r="D11" s="48" t="inlineStr">
        <is>
          <t>Public Transit</t>
        </is>
      </c>
      <c r="E11" s="73" t="n">
        <v>18.5</v>
      </c>
      <c r="F11" s="48" t="inlineStr">
        <is>
          <t>Credit Card</t>
        </is>
      </c>
      <c r="G11" s="48" t="inlineStr">
        <is>
          <t>Want</t>
        </is>
      </c>
      <c r="H11" s="48" t="inlineStr">
        <is>
          <t>No</t>
        </is>
      </c>
      <c r="I11" s="48" t="inlineStr"/>
      <c r="J11" s="12">
        <f>IF(A11="","",TEXT(A11,"MMMM YYYY"))</f>
        <v/>
      </c>
      <c r="K11" s="12">
        <f>IF(A11="","",WEEKNUM(A11))</f>
        <v/>
      </c>
      <c r="L11" s="12">
        <f>IF(A11="","",MONTH(A11))</f>
        <v/>
      </c>
      <c r="M11" s="12">
        <f>IF(A11="","",YEAR(A11))</f>
        <v/>
      </c>
    </row>
    <row r="12">
      <c r="A12" s="43" t="n">
        <v>46180</v>
      </c>
      <c r="B12" s="44" t="inlineStr">
        <is>
          <t>Chipotle</t>
        </is>
      </c>
      <c r="C12" s="44" t="inlineStr">
        <is>
          <t>Food &amp; Dining</t>
        </is>
      </c>
      <c r="D12" s="44" t="inlineStr">
        <is>
          <t>Restaurants</t>
        </is>
      </c>
      <c r="E12" s="72" t="n">
        <v>13.85</v>
      </c>
      <c r="F12" s="44" t="inlineStr">
        <is>
          <t>Cash</t>
        </is>
      </c>
      <c r="G12" s="44" t="inlineStr">
        <is>
          <t>Want</t>
        </is>
      </c>
      <c r="H12" s="44" t="inlineStr">
        <is>
          <t>No</t>
        </is>
      </c>
      <c r="I12" s="44" t="inlineStr"/>
      <c r="J12" s="9">
        <f>IF(A12="","",TEXT(A12,"MMMM YYYY"))</f>
        <v/>
      </c>
      <c r="K12" s="9">
        <f>IF(A12="","",WEEKNUM(A12))</f>
        <v/>
      </c>
      <c r="L12" s="9">
        <f>IF(A12="","",MONTH(A12))</f>
        <v/>
      </c>
      <c r="M12" s="9">
        <f>IF(A12="","",YEAR(A12))</f>
        <v/>
      </c>
    </row>
    <row r="13">
      <c r="A13" s="47" t="n">
        <v>46180</v>
      </c>
      <c r="B13" s="48" t="inlineStr">
        <is>
          <t>Starbucks</t>
        </is>
      </c>
      <c r="C13" s="48" t="inlineStr">
        <is>
          <t>Food &amp; Dining</t>
        </is>
      </c>
      <c r="D13" s="48" t="inlineStr">
        <is>
          <t>Coffee</t>
        </is>
      </c>
      <c r="E13" s="73" t="n">
        <v>6.45</v>
      </c>
      <c r="F13" s="48" t="inlineStr">
        <is>
          <t>Debit Card</t>
        </is>
      </c>
      <c r="G13" s="48" t="inlineStr">
        <is>
          <t>Want</t>
        </is>
      </c>
      <c r="H13" s="48" t="inlineStr">
        <is>
          <t>No</t>
        </is>
      </c>
      <c r="I13" s="48" t="inlineStr">
        <is>
          <t>Daily habit</t>
        </is>
      </c>
      <c r="J13" s="12">
        <f>IF(A13="","",TEXT(A13,"MMMM YYYY"))</f>
        <v/>
      </c>
      <c r="K13" s="12">
        <f>IF(A13="","",WEEKNUM(A13))</f>
        <v/>
      </c>
      <c r="L13" s="12">
        <f>IF(A13="","",MONTH(A13))</f>
        <v/>
      </c>
      <c r="M13" s="12">
        <f>IF(A13="","",YEAR(A13))</f>
        <v/>
      </c>
    </row>
    <row r="14">
      <c r="A14" s="43" t="n">
        <v>46181</v>
      </c>
      <c r="B14" s="44" t="inlineStr">
        <is>
          <t>Planet Fitness</t>
        </is>
      </c>
      <c r="C14" s="44" t="inlineStr">
        <is>
          <t>Personal Care</t>
        </is>
      </c>
      <c r="D14" s="44" t="inlineStr">
        <is>
          <t>Gym</t>
        </is>
      </c>
      <c r="E14" s="72" t="n">
        <v>29.99</v>
      </c>
      <c r="F14" s="44" t="inlineStr">
        <is>
          <t>Bank Transfer</t>
        </is>
      </c>
      <c r="G14" s="44" t="inlineStr">
        <is>
          <t>Need</t>
        </is>
      </c>
      <c r="H14" s="44" t="inlineStr">
        <is>
          <t>Yes</t>
        </is>
      </c>
      <c r="I14" s="44" t="inlineStr"/>
      <c r="J14" s="9">
        <f>IF(A14="","",TEXT(A14,"MMMM YYYY"))</f>
        <v/>
      </c>
      <c r="K14" s="9">
        <f>IF(A14="","",WEEKNUM(A14))</f>
        <v/>
      </c>
      <c r="L14" s="9">
        <f>IF(A14="","",MONTH(A14))</f>
        <v/>
      </c>
      <c r="M14" s="9">
        <f>IF(A14="","",YEAR(A14))</f>
        <v/>
      </c>
    </row>
    <row r="15">
      <c r="A15" s="47" t="n">
        <v>46182</v>
      </c>
      <c r="B15" s="48" t="inlineStr">
        <is>
          <t>Apple</t>
        </is>
      </c>
      <c r="C15" s="48" t="inlineStr">
        <is>
          <t>Shopping</t>
        </is>
      </c>
      <c r="D15" s="48" t="inlineStr">
        <is>
          <t>Electronics</t>
        </is>
      </c>
      <c r="E15" s="73" t="n">
        <v>249</v>
      </c>
      <c r="F15" s="48" t="inlineStr">
        <is>
          <t>Credit Card</t>
        </is>
      </c>
      <c r="G15" s="48" t="inlineStr">
        <is>
          <t>Want</t>
        </is>
      </c>
      <c r="H15" s="48" t="inlineStr">
        <is>
          <t>No</t>
        </is>
      </c>
      <c r="I15" s="48" t="inlineStr">
        <is>
          <t>New earbuds</t>
        </is>
      </c>
      <c r="J15" s="12">
        <f>IF(A15="","",TEXT(A15,"MMMM YYYY"))</f>
        <v/>
      </c>
      <c r="K15" s="12">
        <f>IF(A15="","",WEEKNUM(A15))</f>
        <v/>
      </c>
      <c r="L15" s="12">
        <f>IF(A15="","",MONTH(A15))</f>
        <v/>
      </c>
      <c r="M15" s="12">
        <f>IF(A15="","",YEAR(A15))</f>
        <v/>
      </c>
    </row>
    <row r="16">
      <c r="A16" s="43" t="n">
        <v>46183</v>
      </c>
      <c r="B16" s="44" t="inlineStr">
        <is>
          <t>Whole Foods</t>
        </is>
      </c>
      <c r="C16" s="44" t="inlineStr">
        <is>
          <t>Food &amp; Dining</t>
        </is>
      </c>
      <c r="D16" s="44" t="inlineStr">
        <is>
          <t>Groceries</t>
        </is>
      </c>
      <c r="E16" s="72" t="n">
        <v>142.1</v>
      </c>
      <c r="F16" s="44" t="inlineStr">
        <is>
          <t>Debit Card</t>
        </is>
      </c>
      <c r="G16" s="44" t="inlineStr">
        <is>
          <t>Need</t>
        </is>
      </c>
      <c r="H16" s="44" t="inlineStr">
        <is>
          <t>No</t>
        </is>
      </c>
      <c r="I16" s="44" t="inlineStr"/>
      <c r="J16" s="9">
        <f>IF(A16="","",TEXT(A16,"MMMM YYYY"))</f>
        <v/>
      </c>
      <c r="K16" s="9">
        <f>IF(A16="","",WEEKNUM(A16))</f>
        <v/>
      </c>
      <c r="L16" s="9">
        <f>IF(A16="","",MONTH(A16))</f>
        <v/>
      </c>
      <c r="M16" s="9">
        <f>IF(A16="","",YEAR(A16))</f>
        <v/>
      </c>
    </row>
    <row r="17">
      <c r="A17" s="47" t="n">
        <v>46184</v>
      </c>
      <c r="B17" s="48" t="inlineStr">
        <is>
          <t>Shell Gas</t>
        </is>
      </c>
      <c r="C17" s="48" t="inlineStr">
        <is>
          <t>Transportation</t>
        </is>
      </c>
      <c r="D17" s="48" t="inlineStr">
        <is>
          <t>Gas</t>
        </is>
      </c>
      <c r="E17" s="73" t="n">
        <v>48.75</v>
      </c>
      <c r="F17" s="48" t="inlineStr">
        <is>
          <t>Credit Card</t>
        </is>
      </c>
      <c r="G17" s="48" t="inlineStr">
        <is>
          <t>Need</t>
        </is>
      </c>
      <c r="H17" s="48" t="inlineStr">
        <is>
          <t>No</t>
        </is>
      </c>
      <c r="I17" s="48" t="inlineStr"/>
      <c r="J17" s="12">
        <f>IF(A17="","",TEXT(A17,"MMMM YYYY"))</f>
        <v/>
      </c>
      <c r="K17" s="12">
        <f>IF(A17="","",WEEKNUM(A17))</f>
        <v/>
      </c>
      <c r="L17" s="12">
        <f>IF(A17="","",MONTH(A17))</f>
        <v/>
      </c>
      <c r="M17" s="12">
        <f>IF(A17="","",YEAR(A17))</f>
        <v/>
      </c>
    </row>
    <row r="18">
      <c r="A18" s="43" t="n">
        <v>46185</v>
      </c>
      <c r="B18" s="44" t="inlineStr">
        <is>
          <t>Electric Co.</t>
        </is>
      </c>
      <c r="C18" s="44" t="inlineStr">
        <is>
          <t>Utilities</t>
        </is>
      </c>
      <c r="D18" s="44" t="inlineStr">
        <is>
          <t>Electricity</t>
        </is>
      </c>
      <c r="E18" s="72" t="n">
        <v>135</v>
      </c>
      <c r="F18" s="44" t="inlineStr">
        <is>
          <t>Bank Transfer</t>
        </is>
      </c>
      <c r="G18" s="44" t="inlineStr">
        <is>
          <t>Need</t>
        </is>
      </c>
      <c r="H18" s="44" t="inlineStr">
        <is>
          <t>Yes</t>
        </is>
      </c>
      <c r="I18" s="44" t="inlineStr"/>
      <c r="J18" s="9">
        <f>IF(A18="","",TEXT(A18,"MMMM YYYY"))</f>
        <v/>
      </c>
      <c r="K18" s="9">
        <f>IF(A18="","",WEEKNUM(A18))</f>
        <v/>
      </c>
      <c r="L18" s="9">
        <f>IF(A18="","",MONTH(A18))</f>
        <v/>
      </c>
      <c r="M18" s="9">
        <f>IF(A18="","",YEAR(A18))</f>
        <v/>
      </c>
    </row>
    <row r="19">
      <c r="A19" s="47" t="n">
        <v>46185</v>
      </c>
      <c r="B19" s="48" t="inlineStr">
        <is>
          <t>Verizon</t>
        </is>
      </c>
      <c r="C19" s="48" t="inlineStr">
        <is>
          <t>Utilities</t>
        </is>
      </c>
      <c r="D19" s="48" t="inlineStr">
        <is>
          <t>Phone</t>
        </is>
      </c>
      <c r="E19" s="73" t="n">
        <v>85</v>
      </c>
      <c r="F19" s="48" t="inlineStr">
        <is>
          <t>Bank Transfer</t>
        </is>
      </c>
      <c r="G19" s="48" t="inlineStr">
        <is>
          <t>Need</t>
        </is>
      </c>
      <c r="H19" s="48" t="inlineStr">
        <is>
          <t>Yes</t>
        </is>
      </c>
      <c r="I19" s="48" t="inlineStr"/>
      <c r="J19" s="12">
        <f>IF(A19="","",TEXT(A19,"MMMM YYYY"))</f>
        <v/>
      </c>
      <c r="K19" s="12">
        <f>IF(A19="","",WEEKNUM(A19))</f>
        <v/>
      </c>
      <c r="L19" s="12">
        <f>IF(A19="","",MONTH(A19))</f>
        <v/>
      </c>
      <c r="M19" s="12">
        <f>IF(A19="","",YEAR(A19))</f>
        <v/>
      </c>
    </row>
    <row r="20">
      <c r="A20" s="43" t="n">
        <v>46186</v>
      </c>
      <c r="B20" s="44" t="inlineStr">
        <is>
          <t>Amazon</t>
        </is>
      </c>
      <c r="C20" s="44" t="inlineStr">
        <is>
          <t>Shopping</t>
        </is>
      </c>
      <c r="D20" s="44" t="inlineStr">
        <is>
          <t>Other</t>
        </is>
      </c>
      <c r="E20" s="72" t="n">
        <v>34.99</v>
      </c>
      <c r="F20" s="44" t="inlineStr">
        <is>
          <t>Credit Card</t>
        </is>
      </c>
      <c r="G20" s="44" t="inlineStr">
        <is>
          <t>Want</t>
        </is>
      </c>
      <c r="H20" s="44" t="inlineStr">
        <is>
          <t>No</t>
        </is>
      </c>
      <c r="I20" s="44" t="inlineStr">
        <is>
          <t>Phone case</t>
        </is>
      </c>
      <c r="J20" s="9">
        <f>IF(A20="","",TEXT(A20,"MMMM YYYY"))</f>
        <v/>
      </c>
      <c r="K20" s="9">
        <f>IF(A20="","",WEEKNUM(A20))</f>
        <v/>
      </c>
      <c r="L20" s="9">
        <f>IF(A20="","",MONTH(A20))</f>
        <v/>
      </c>
      <c r="M20" s="9">
        <f>IF(A20="","",YEAR(A20))</f>
        <v/>
      </c>
    </row>
    <row r="21">
      <c r="A21" s="47" t="n"/>
      <c r="B21" s="48" t="n"/>
      <c r="C21" s="48" t="n"/>
      <c r="D21" s="48" t="n"/>
      <c r="E21" s="73" t="n"/>
      <c r="F21" s="48" t="n"/>
      <c r="G21" s="48" t="n"/>
      <c r="H21" s="48" t="n"/>
      <c r="I21" s="48" t="n"/>
      <c r="J21" s="12">
        <f>IF(A21="","",TEXT(A21,"MMMM YYYY"))</f>
        <v/>
      </c>
      <c r="K21" s="12">
        <f>IF(A21="","",WEEKNUM(A21))</f>
        <v/>
      </c>
      <c r="L21" s="12">
        <f>IF(A21="","",MONTH(A21))</f>
        <v/>
      </c>
      <c r="M21" s="12">
        <f>IF(A21="","",YEAR(A21))</f>
        <v/>
      </c>
    </row>
    <row r="22">
      <c r="A22" s="43" t="n"/>
      <c r="B22" s="44" t="n"/>
      <c r="C22" s="44" t="n"/>
      <c r="D22" s="44" t="n"/>
      <c r="E22" s="72" t="n"/>
      <c r="F22" s="44" t="n"/>
      <c r="G22" s="44" t="n"/>
      <c r="H22" s="44" t="n"/>
      <c r="I22" s="44" t="n"/>
      <c r="J22" s="9">
        <f>IF(A22="","",TEXT(A22,"MMMM YYYY"))</f>
        <v/>
      </c>
      <c r="K22" s="9">
        <f>IF(A22="","",WEEKNUM(A22))</f>
        <v/>
      </c>
      <c r="L22" s="9">
        <f>IF(A22="","",MONTH(A22))</f>
        <v/>
      </c>
      <c r="M22" s="9">
        <f>IF(A22="","",YEAR(A22))</f>
        <v/>
      </c>
    </row>
    <row r="23">
      <c r="A23" s="47" t="n"/>
      <c r="B23" s="48" t="n"/>
      <c r="C23" s="48" t="n"/>
      <c r="D23" s="48" t="n"/>
      <c r="E23" s="73" t="n"/>
      <c r="F23" s="48" t="n"/>
      <c r="G23" s="48" t="n"/>
      <c r="H23" s="48" t="n"/>
      <c r="I23" s="48" t="n"/>
      <c r="J23" s="12">
        <f>IF(A23="","",TEXT(A23,"MMMM YYYY"))</f>
        <v/>
      </c>
      <c r="K23" s="12">
        <f>IF(A23="","",WEEKNUM(A23))</f>
        <v/>
      </c>
      <c r="L23" s="12">
        <f>IF(A23="","",MONTH(A23))</f>
        <v/>
      </c>
      <c r="M23" s="12">
        <f>IF(A23="","",YEAR(A23))</f>
        <v/>
      </c>
    </row>
    <row r="24">
      <c r="A24" s="43" t="n"/>
      <c r="B24" s="44" t="n"/>
      <c r="C24" s="44" t="n"/>
      <c r="D24" s="44" t="n"/>
      <c r="E24" s="72" t="n"/>
      <c r="F24" s="44" t="n"/>
      <c r="G24" s="44" t="n"/>
      <c r="H24" s="44" t="n"/>
      <c r="I24" s="44" t="n"/>
      <c r="J24" s="9">
        <f>IF(A24="","",TEXT(A24,"MMMM YYYY"))</f>
        <v/>
      </c>
      <c r="K24" s="9">
        <f>IF(A24="","",WEEKNUM(A24))</f>
        <v/>
      </c>
      <c r="L24" s="9">
        <f>IF(A24="","",MONTH(A24))</f>
        <v/>
      </c>
      <c r="M24" s="9">
        <f>IF(A24="","",YEAR(A24))</f>
        <v/>
      </c>
    </row>
    <row r="25">
      <c r="A25" s="47" t="n"/>
      <c r="B25" s="48" t="n"/>
      <c r="C25" s="48" t="n"/>
      <c r="D25" s="48" t="n"/>
      <c r="E25" s="73" t="n"/>
      <c r="F25" s="48" t="n"/>
      <c r="G25" s="48" t="n"/>
      <c r="H25" s="48" t="n"/>
      <c r="I25" s="48" t="n"/>
      <c r="J25" s="12">
        <f>IF(A25="","",TEXT(A25,"MMMM YYYY"))</f>
        <v/>
      </c>
      <c r="K25" s="12">
        <f>IF(A25="","",WEEKNUM(A25))</f>
        <v/>
      </c>
      <c r="L25" s="12">
        <f>IF(A25="","",MONTH(A25))</f>
        <v/>
      </c>
      <c r="M25" s="12">
        <f>IF(A25="","",YEAR(A25))</f>
        <v/>
      </c>
    </row>
    <row r="26">
      <c r="A26" s="43" t="n"/>
      <c r="B26" s="44" t="n"/>
      <c r="C26" s="44" t="n"/>
      <c r="D26" s="44" t="n"/>
      <c r="E26" s="72" t="n"/>
      <c r="F26" s="44" t="n"/>
      <c r="G26" s="44" t="n"/>
      <c r="H26" s="44" t="n"/>
      <c r="I26" s="44" t="n"/>
      <c r="J26" s="9">
        <f>IF(A26="","",TEXT(A26,"MMMM YYYY"))</f>
        <v/>
      </c>
      <c r="K26" s="9">
        <f>IF(A26="","",WEEKNUM(A26))</f>
        <v/>
      </c>
      <c r="L26" s="9">
        <f>IF(A26="","",MONTH(A26))</f>
        <v/>
      </c>
      <c r="M26" s="9">
        <f>IF(A26="","",YEAR(A26))</f>
        <v/>
      </c>
    </row>
    <row r="27">
      <c r="A27" s="47" t="n"/>
      <c r="B27" s="48" t="n"/>
      <c r="C27" s="48" t="n"/>
      <c r="D27" s="48" t="n"/>
      <c r="E27" s="73" t="n"/>
      <c r="F27" s="48" t="n"/>
      <c r="G27" s="48" t="n"/>
      <c r="H27" s="48" t="n"/>
      <c r="I27" s="48" t="n"/>
      <c r="J27" s="12">
        <f>IF(A27="","",TEXT(A27,"MMMM YYYY"))</f>
        <v/>
      </c>
      <c r="K27" s="12">
        <f>IF(A27="","",WEEKNUM(A27))</f>
        <v/>
      </c>
      <c r="L27" s="12">
        <f>IF(A27="","",MONTH(A27))</f>
        <v/>
      </c>
      <c r="M27" s="12">
        <f>IF(A27="","",YEAR(A27))</f>
        <v/>
      </c>
    </row>
    <row r="28">
      <c r="A28" s="43" t="n"/>
      <c r="B28" s="44" t="n"/>
      <c r="C28" s="44" t="n"/>
      <c r="D28" s="44" t="n"/>
      <c r="E28" s="72" t="n"/>
      <c r="F28" s="44" t="n"/>
      <c r="G28" s="44" t="n"/>
      <c r="H28" s="44" t="n"/>
      <c r="I28" s="44" t="n"/>
      <c r="J28" s="9">
        <f>IF(A28="","",TEXT(A28,"MMMM YYYY"))</f>
        <v/>
      </c>
      <c r="K28" s="9">
        <f>IF(A28="","",WEEKNUM(A28))</f>
        <v/>
      </c>
      <c r="L28" s="9">
        <f>IF(A28="","",MONTH(A28))</f>
        <v/>
      </c>
      <c r="M28" s="9">
        <f>IF(A28="","",YEAR(A28))</f>
        <v/>
      </c>
    </row>
    <row r="29">
      <c r="A29" s="47" t="n"/>
      <c r="B29" s="48" t="n"/>
      <c r="C29" s="48" t="n"/>
      <c r="D29" s="48" t="n"/>
      <c r="E29" s="73" t="n"/>
      <c r="F29" s="48" t="n"/>
      <c r="G29" s="48" t="n"/>
      <c r="H29" s="48" t="n"/>
      <c r="I29" s="48" t="n"/>
      <c r="J29" s="12">
        <f>IF(A29="","",TEXT(A29,"MMMM YYYY"))</f>
        <v/>
      </c>
      <c r="K29" s="12">
        <f>IF(A29="","",WEEKNUM(A29))</f>
        <v/>
      </c>
      <c r="L29" s="12">
        <f>IF(A29="","",MONTH(A29))</f>
        <v/>
      </c>
      <c r="M29" s="12">
        <f>IF(A29="","",YEAR(A29))</f>
        <v/>
      </c>
    </row>
    <row r="30">
      <c r="A30" s="43" t="n"/>
      <c r="B30" s="44" t="n"/>
      <c r="C30" s="44" t="n"/>
      <c r="D30" s="44" t="n"/>
      <c r="E30" s="72" t="n"/>
      <c r="F30" s="44" t="n"/>
      <c r="G30" s="44" t="n"/>
      <c r="H30" s="44" t="n"/>
      <c r="I30" s="44" t="n"/>
      <c r="J30" s="9">
        <f>IF(A30="","",TEXT(A30,"MMMM YYYY"))</f>
        <v/>
      </c>
      <c r="K30" s="9">
        <f>IF(A30="","",WEEKNUM(A30))</f>
        <v/>
      </c>
      <c r="L30" s="9">
        <f>IF(A30="","",MONTH(A30))</f>
        <v/>
      </c>
      <c r="M30" s="9">
        <f>IF(A30="","",YEAR(A30))</f>
        <v/>
      </c>
    </row>
    <row r="31">
      <c r="A31" s="47" t="n"/>
      <c r="B31" s="48" t="n"/>
      <c r="C31" s="48" t="n"/>
      <c r="D31" s="48" t="n"/>
      <c r="E31" s="73" t="n"/>
      <c r="F31" s="48" t="n"/>
      <c r="G31" s="48" t="n"/>
      <c r="H31" s="48" t="n"/>
      <c r="I31" s="48" t="n"/>
      <c r="J31" s="12">
        <f>IF(A31="","",TEXT(A31,"MMMM YYYY"))</f>
        <v/>
      </c>
      <c r="K31" s="12">
        <f>IF(A31="","",WEEKNUM(A31))</f>
        <v/>
      </c>
      <c r="L31" s="12">
        <f>IF(A31="","",MONTH(A31))</f>
        <v/>
      </c>
      <c r="M31" s="12">
        <f>IF(A31="","",YEAR(A31))</f>
        <v/>
      </c>
    </row>
    <row r="32">
      <c r="A32" s="43" t="n"/>
      <c r="B32" s="44" t="n"/>
      <c r="C32" s="44" t="n"/>
      <c r="D32" s="44" t="n"/>
      <c r="E32" s="72" t="n"/>
      <c r="F32" s="44" t="n"/>
      <c r="G32" s="44" t="n"/>
      <c r="H32" s="44" t="n"/>
      <c r="I32" s="44" t="n"/>
      <c r="J32" s="9">
        <f>IF(A32="","",TEXT(A32,"MMMM YYYY"))</f>
        <v/>
      </c>
      <c r="K32" s="9">
        <f>IF(A32="","",WEEKNUM(A32))</f>
        <v/>
      </c>
      <c r="L32" s="9">
        <f>IF(A32="","",MONTH(A32))</f>
        <v/>
      </c>
      <c r="M32" s="9">
        <f>IF(A32="","",YEAR(A32))</f>
        <v/>
      </c>
    </row>
    <row r="33">
      <c r="A33" s="47" t="n"/>
      <c r="B33" s="48" t="n"/>
      <c r="C33" s="48" t="n"/>
      <c r="D33" s="48" t="n"/>
      <c r="E33" s="73" t="n"/>
      <c r="F33" s="48" t="n"/>
      <c r="G33" s="48" t="n"/>
      <c r="H33" s="48" t="n"/>
      <c r="I33" s="48" t="n"/>
      <c r="J33" s="12">
        <f>IF(A33="","",TEXT(A33,"MMMM YYYY"))</f>
        <v/>
      </c>
      <c r="K33" s="12">
        <f>IF(A33="","",WEEKNUM(A33))</f>
        <v/>
      </c>
      <c r="L33" s="12">
        <f>IF(A33="","",MONTH(A33))</f>
        <v/>
      </c>
      <c r="M33" s="12">
        <f>IF(A33="","",YEAR(A33))</f>
        <v/>
      </c>
    </row>
    <row r="34">
      <c r="A34" s="43" t="n"/>
      <c r="B34" s="44" t="n"/>
      <c r="C34" s="44" t="n"/>
      <c r="D34" s="44" t="n"/>
      <c r="E34" s="72" t="n"/>
      <c r="F34" s="44" t="n"/>
      <c r="G34" s="44" t="n"/>
      <c r="H34" s="44" t="n"/>
      <c r="I34" s="44" t="n"/>
      <c r="J34" s="9">
        <f>IF(A34="","",TEXT(A34,"MMMM YYYY"))</f>
        <v/>
      </c>
      <c r="K34" s="9">
        <f>IF(A34="","",WEEKNUM(A34))</f>
        <v/>
      </c>
      <c r="L34" s="9">
        <f>IF(A34="","",MONTH(A34))</f>
        <v/>
      </c>
      <c r="M34" s="9">
        <f>IF(A34="","",YEAR(A34))</f>
        <v/>
      </c>
    </row>
    <row r="35">
      <c r="A35" s="47" t="n"/>
      <c r="B35" s="48" t="n"/>
      <c r="C35" s="48" t="n"/>
      <c r="D35" s="48" t="n"/>
      <c r="E35" s="73" t="n"/>
      <c r="F35" s="48" t="n"/>
      <c r="G35" s="48" t="n"/>
      <c r="H35" s="48" t="n"/>
      <c r="I35" s="48" t="n"/>
      <c r="J35" s="12">
        <f>IF(A35="","",TEXT(A35,"MMMM YYYY"))</f>
        <v/>
      </c>
      <c r="K35" s="12">
        <f>IF(A35="","",WEEKNUM(A35))</f>
        <v/>
      </c>
      <c r="L35" s="12">
        <f>IF(A35="","",MONTH(A35))</f>
        <v/>
      </c>
      <c r="M35" s="12">
        <f>IF(A35="","",YEAR(A35))</f>
        <v/>
      </c>
    </row>
    <row r="36">
      <c r="A36" s="43" t="n"/>
      <c r="B36" s="44" t="n"/>
      <c r="C36" s="44" t="n"/>
      <c r="D36" s="44" t="n"/>
      <c r="E36" s="72" t="n"/>
      <c r="F36" s="44" t="n"/>
      <c r="G36" s="44" t="n"/>
      <c r="H36" s="44" t="n"/>
      <c r="I36" s="44" t="n"/>
      <c r="J36" s="9">
        <f>IF(A36="","",TEXT(A36,"MMMM YYYY"))</f>
        <v/>
      </c>
      <c r="K36" s="9">
        <f>IF(A36="","",WEEKNUM(A36))</f>
        <v/>
      </c>
      <c r="L36" s="9">
        <f>IF(A36="","",MONTH(A36))</f>
        <v/>
      </c>
      <c r="M36" s="9">
        <f>IF(A36="","",YEAR(A36))</f>
        <v/>
      </c>
    </row>
    <row r="37">
      <c r="A37" s="47" t="n"/>
      <c r="B37" s="48" t="n"/>
      <c r="C37" s="48" t="n"/>
      <c r="D37" s="48" t="n"/>
      <c r="E37" s="73" t="n"/>
      <c r="F37" s="48" t="n"/>
      <c r="G37" s="48" t="n"/>
      <c r="H37" s="48" t="n"/>
      <c r="I37" s="48" t="n"/>
      <c r="J37" s="12">
        <f>IF(A37="","",TEXT(A37,"MMMM YYYY"))</f>
        <v/>
      </c>
      <c r="K37" s="12">
        <f>IF(A37="","",WEEKNUM(A37))</f>
        <v/>
      </c>
      <c r="L37" s="12">
        <f>IF(A37="","",MONTH(A37))</f>
        <v/>
      </c>
      <c r="M37" s="12">
        <f>IF(A37="","",YEAR(A37))</f>
        <v/>
      </c>
    </row>
    <row r="38">
      <c r="A38" s="43" t="n"/>
      <c r="B38" s="44" t="n"/>
      <c r="C38" s="44" t="n"/>
      <c r="D38" s="44" t="n"/>
      <c r="E38" s="72" t="n"/>
      <c r="F38" s="44" t="n"/>
      <c r="G38" s="44" t="n"/>
      <c r="H38" s="44" t="n"/>
      <c r="I38" s="44" t="n"/>
      <c r="J38" s="9">
        <f>IF(A38="","",TEXT(A38,"MMMM YYYY"))</f>
        <v/>
      </c>
      <c r="K38" s="9">
        <f>IF(A38="","",WEEKNUM(A38))</f>
        <v/>
      </c>
      <c r="L38" s="9">
        <f>IF(A38="","",MONTH(A38))</f>
        <v/>
      </c>
      <c r="M38" s="9">
        <f>IF(A38="","",YEAR(A38))</f>
        <v/>
      </c>
    </row>
    <row r="39">
      <c r="A39" s="47" t="n"/>
      <c r="B39" s="48" t="n"/>
      <c r="C39" s="48" t="n"/>
      <c r="D39" s="48" t="n"/>
      <c r="E39" s="73" t="n"/>
      <c r="F39" s="48" t="n"/>
      <c r="G39" s="48" t="n"/>
      <c r="H39" s="48" t="n"/>
      <c r="I39" s="48" t="n"/>
      <c r="J39" s="12">
        <f>IF(A39="","",TEXT(A39,"MMMM YYYY"))</f>
        <v/>
      </c>
      <c r="K39" s="12">
        <f>IF(A39="","",WEEKNUM(A39))</f>
        <v/>
      </c>
      <c r="L39" s="12">
        <f>IF(A39="","",MONTH(A39))</f>
        <v/>
      </c>
      <c r="M39" s="12">
        <f>IF(A39="","",YEAR(A39))</f>
        <v/>
      </c>
    </row>
    <row r="40">
      <c r="A40" s="43" t="n"/>
      <c r="B40" s="44" t="n"/>
      <c r="C40" s="44" t="n"/>
      <c r="D40" s="44" t="n"/>
      <c r="E40" s="72" t="n"/>
      <c r="F40" s="44" t="n"/>
      <c r="G40" s="44" t="n"/>
      <c r="H40" s="44" t="n"/>
      <c r="I40" s="44" t="n"/>
      <c r="J40" s="9">
        <f>IF(A40="","",TEXT(A40,"MMMM YYYY"))</f>
        <v/>
      </c>
      <c r="K40" s="9">
        <f>IF(A40="","",WEEKNUM(A40))</f>
        <v/>
      </c>
      <c r="L40" s="9">
        <f>IF(A40="","",MONTH(A40))</f>
        <v/>
      </c>
      <c r="M40" s="9">
        <f>IF(A40="","",YEAR(A40))</f>
        <v/>
      </c>
    </row>
    <row r="41">
      <c r="A41" s="47" t="n"/>
      <c r="B41" s="48" t="n"/>
      <c r="C41" s="48" t="n"/>
      <c r="D41" s="48" t="n"/>
      <c r="E41" s="73" t="n"/>
      <c r="F41" s="48" t="n"/>
      <c r="G41" s="48" t="n"/>
      <c r="H41" s="48" t="n"/>
      <c r="I41" s="48" t="n"/>
      <c r="J41" s="12">
        <f>IF(A41="","",TEXT(A41,"MMMM YYYY"))</f>
        <v/>
      </c>
      <c r="K41" s="12">
        <f>IF(A41="","",WEEKNUM(A41))</f>
        <v/>
      </c>
      <c r="L41" s="12">
        <f>IF(A41="","",MONTH(A41))</f>
        <v/>
      </c>
      <c r="M41" s="12">
        <f>IF(A41="","",YEAR(A41))</f>
        <v/>
      </c>
    </row>
    <row r="42">
      <c r="A42" s="43" t="n"/>
      <c r="B42" s="44" t="n"/>
      <c r="C42" s="44" t="n"/>
      <c r="D42" s="44" t="n"/>
      <c r="E42" s="72" t="n"/>
      <c r="F42" s="44" t="n"/>
      <c r="G42" s="44" t="n"/>
      <c r="H42" s="44" t="n"/>
      <c r="I42" s="44" t="n"/>
      <c r="J42" s="9">
        <f>IF(A42="","",TEXT(A42,"MMMM YYYY"))</f>
        <v/>
      </c>
      <c r="K42" s="9">
        <f>IF(A42="","",WEEKNUM(A42))</f>
        <v/>
      </c>
      <c r="L42" s="9">
        <f>IF(A42="","",MONTH(A42))</f>
        <v/>
      </c>
      <c r="M42" s="9">
        <f>IF(A42="","",YEAR(A42))</f>
        <v/>
      </c>
    </row>
    <row r="43">
      <c r="A43" s="47" t="n"/>
      <c r="B43" s="48" t="n"/>
      <c r="C43" s="48" t="n"/>
      <c r="D43" s="48" t="n"/>
      <c r="E43" s="73" t="n"/>
      <c r="F43" s="48" t="n"/>
      <c r="G43" s="48" t="n"/>
      <c r="H43" s="48" t="n"/>
      <c r="I43" s="48" t="n"/>
      <c r="J43" s="12">
        <f>IF(A43="","",TEXT(A43,"MMMM YYYY"))</f>
        <v/>
      </c>
      <c r="K43" s="12">
        <f>IF(A43="","",WEEKNUM(A43))</f>
        <v/>
      </c>
      <c r="L43" s="12">
        <f>IF(A43="","",MONTH(A43))</f>
        <v/>
      </c>
      <c r="M43" s="12">
        <f>IF(A43="","",YEAR(A43))</f>
        <v/>
      </c>
    </row>
    <row r="44">
      <c r="A44" s="43" t="n"/>
      <c r="B44" s="44" t="n"/>
      <c r="C44" s="44" t="n"/>
      <c r="D44" s="44" t="n"/>
      <c r="E44" s="72" t="n"/>
      <c r="F44" s="44" t="n"/>
      <c r="G44" s="44" t="n"/>
      <c r="H44" s="44" t="n"/>
      <c r="I44" s="44" t="n"/>
      <c r="J44" s="9">
        <f>IF(A44="","",TEXT(A44,"MMMM YYYY"))</f>
        <v/>
      </c>
      <c r="K44" s="9">
        <f>IF(A44="","",WEEKNUM(A44))</f>
        <v/>
      </c>
      <c r="L44" s="9">
        <f>IF(A44="","",MONTH(A44))</f>
        <v/>
      </c>
      <c r="M44" s="9">
        <f>IF(A44="","",YEAR(A44))</f>
        <v/>
      </c>
    </row>
    <row r="45">
      <c r="A45" s="47" t="n"/>
      <c r="B45" s="48" t="n"/>
      <c r="C45" s="48" t="n"/>
      <c r="D45" s="48" t="n"/>
      <c r="E45" s="73" t="n"/>
      <c r="F45" s="48" t="n"/>
      <c r="G45" s="48" t="n"/>
      <c r="H45" s="48" t="n"/>
      <c r="I45" s="48" t="n"/>
      <c r="J45" s="12">
        <f>IF(A45="","",TEXT(A45,"MMMM YYYY"))</f>
        <v/>
      </c>
      <c r="K45" s="12">
        <f>IF(A45="","",WEEKNUM(A45))</f>
        <v/>
      </c>
      <c r="L45" s="12">
        <f>IF(A45="","",MONTH(A45))</f>
        <v/>
      </c>
      <c r="M45" s="12">
        <f>IF(A45="","",YEAR(A45))</f>
        <v/>
      </c>
    </row>
    <row r="46">
      <c r="A46" s="43" t="n"/>
      <c r="B46" s="44" t="n"/>
      <c r="C46" s="44" t="n"/>
      <c r="D46" s="44" t="n"/>
      <c r="E46" s="72" t="n"/>
      <c r="F46" s="44" t="n"/>
      <c r="G46" s="44" t="n"/>
      <c r="H46" s="44" t="n"/>
      <c r="I46" s="44" t="n"/>
      <c r="J46" s="9">
        <f>IF(A46="","",TEXT(A46,"MMMM YYYY"))</f>
        <v/>
      </c>
      <c r="K46" s="9">
        <f>IF(A46="","",WEEKNUM(A46))</f>
        <v/>
      </c>
      <c r="L46" s="9">
        <f>IF(A46="","",MONTH(A46))</f>
        <v/>
      </c>
      <c r="M46" s="9">
        <f>IF(A46="","",YEAR(A46))</f>
        <v/>
      </c>
    </row>
    <row r="47">
      <c r="A47" s="47" t="n"/>
      <c r="B47" s="48" t="n"/>
      <c r="C47" s="48" t="n"/>
      <c r="D47" s="48" t="n"/>
      <c r="E47" s="73" t="n"/>
      <c r="F47" s="48" t="n"/>
      <c r="G47" s="48" t="n"/>
      <c r="H47" s="48" t="n"/>
      <c r="I47" s="48" t="n"/>
      <c r="J47" s="12">
        <f>IF(A47="","",TEXT(A47,"MMMM YYYY"))</f>
        <v/>
      </c>
      <c r="K47" s="12">
        <f>IF(A47="","",WEEKNUM(A47))</f>
        <v/>
      </c>
      <c r="L47" s="12">
        <f>IF(A47="","",MONTH(A47))</f>
        <v/>
      </c>
      <c r="M47" s="12">
        <f>IF(A47="","",YEAR(A47))</f>
        <v/>
      </c>
    </row>
    <row r="48">
      <c r="A48" s="43" t="n"/>
      <c r="B48" s="44" t="n"/>
      <c r="C48" s="44" t="n"/>
      <c r="D48" s="44" t="n"/>
      <c r="E48" s="72" t="n"/>
      <c r="F48" s="44" t="n"/>
      <c r="G48" s="44" t="n"/>
      <c r="H48" s="44" t="n"/>
      <c r="I48" s="44" t="n"/>
      <c r="J48" s="9">
        <f>IF(A48="","",TEXT(A48,"MMMM YYYY"))</f>
        <v/>
      </c>
      <c r="K48" s="9">
        <f>IF(A48="","",WEEKNUM(A48))</f>
        <v/>
      </c>
      <c r="L48" s="9">
        <f>IF(A48="","",MONTH(A48))</f>
        <v/>
      </c>
      <c r="M48" s="9">
        <f>IF(A48="","",YEAR(A48))</f>
        <v/>
      </c>
    </row>
    <row r="49">
      <c r="A49" s="47" t="n"/>
      <c r="B49" s="48" t="n"/>
      <c r="C49" s="48" t="n"/>
      <c r="D49" s="48" t="n"/>
      <c r="E49" s="73" t="n"/>
      <c r="F49" s="48" t="n"/>
      <c r="G49" s="48" t="n"/>
      <c r="H49" s="48" t="n"/>
      <c r="I49" s="48" t="n"/>
      <c r="J49" s="12">
        <f>IF(A49="","",TEXT(A49,"MMMM YYYY"))</f>
        <v/>
      </c>
      <c r="K49" s="12">
        <f>IF(A49="","",WEEKNUM(A49))</f>
        <v/>
      </c>
      <c r="L49" s="12">
        <f>IF(A49="","",MONTH(A49))</f>
        <v/>
      </c>
      <c r="M49" s="12">
        <f>IF(A49="","",YEAR(A49))</f>
        <v/>
      </c>
    </row>
    <row r="50">
      <c r="A50" s="43" t="n"/>
      <c r="B50" s="44" t="n"/>
      <c r="C50" s="44" t="n"/>
      <c r="D50" s="44" t="n"/>
      <c r="E50" s="72" t="n"/>
      <c r="F50" s="44" t="n"/>
      <c r="G50" s="44" t="n"/>
      <c r="H50" s="44" t="n"/>
      <c r="I50" s="44" t="n"/>
      <c r="J50" s="9">
        <f>IF(A50="","",TEXT(A50,"MMMM YYYY"))</f>
        <v/>
      </c>
      <c r="K50" s="9">
        <f>IF(A50="","",WEEKNUM(A50))</f>
        <v/>
      </c>
      <c r="L50" s="9">
        <f>IF(A50="","",MONTH(A50))</f>
        <v/>
      </c>
      <c r="M50" s="9">
        <f>IF(A50="","",YEAR(A50))</f>
        <v/>
      </c>
    </row>
    <row r="51">
      <c r="A51" s="47" t="n"/>
      <c r="B51" s="48" t="n"/>
      <c r="C51" s="48" t="n"/>
      <c r="D51" s="48" t="n"/>
      <c r="E51" s="73" t="n"/>
      <c r="F51" s="48" t="n"/>
      <c r="G51" s="48" t="n"/>
      <c r="H51" s="48" t="n"/>
      <c r="I51" s="48" t="n"/>
      <c r="J51" s="12">
        <f>IF(A51="","",TEXT(A51,"MMMM YYYY"))</f>
        <v/>
      </c>
      <c r="K51" s="12">
        <f>IF(A51="","",WEEKNUM(A51))</f>
        <v/>
      </c>
      <c r="L51" s="12">
        <f>IF(A51="","",MONTH(A51))</f>
        <v/>
      </c>
      <c r="M51" s="12">
        <f>IF(A51="","",YEAR(A51))</f>
        <v/>
      </c>
    </row>
    <row r="52">
      <c r="A52" s="43" t="n"/>
      <c r="B52" s="44" t="n"/>
      <c r="C52" s="44" t="n"/>
      <c r="D52" s="44" t="n"/>
      <c r="E52" s="72" t="n"/>
      <c r="F52" s="44" t="n"/>
      <c r="G52" s="44" t="n"/>
      <c r="H52" s="44" t="n"/>
      <c r="I52" s="44" t="n"/>
      <c r="J52" s="9">
        <f>IF(A52="","",TEXT(A52,"MMMM YYYY"))</f>
        <v/>
      </c>
      <c r="K52" s="9">
        <f>IF(A52="","",WEEKNUM(A52))</f>
        <v/>
      </c>
      <c r="L52" s="9">
        <f>IF(A52="","",MONTH(A52))</f>
        <v/>
      </c>
      <c r="M52" s="9">
        <f>IF(A52="","",YEAR(A52))</f>
        <v/>
      </c>
    </row>
    <row r="53">
      <c r="A53" s="47" t="n"/>
      <c r="B53" s="48" t="n"/>
      <c r="C53" s="48" t="n"/>
      <c r="D53" s="48" t="n"/>
      <c r="E53" s="73" t="n"/>
      <c r="F53" s="48" t="n"/>
      <c r="G53" s="48" t="n"/>
      <c r="H53" s="48" t="n"/>
      <c r="I53" s="48" t="n"/>
      <c r="J53" s="12">
        <f>IF(A53="","",TEXT(A53,"MMMM YYYY"))</f>
        <v/>
      </c>
      <c r="K53" s="12">
        <f>IF(A53="","",WEEKNUM(A53))</f>
        <v/>
      </c>
      <c r="L53" s="12">
        <f>IF(A53="","",MONTH(A53))</f>
        <v/>
      </c>
      <c r="M53" s="12">
        <f>IF(A53="","",YEAR(A53))</f>
        <v/>
      </c>
    </row>
    <row r="54">
      <c r="A54" s="43" t="n"/>
      <c r="B54" s="44" t="n"/>
      <c r="C54" s="44" t="n"/>
      <c r="D54" s="44" t="n"/>
      <c r="E54" s="72" t="n"/>
      <c r="F54" s="44" t="n"/>
      <c r="G54" s="44" t="n"/>
      <c r="H54" s="44" t="n"/>
      <c r="I54" s="44" t="n"/>
      <c r="J54" s="9">
        <f>IF(A54="","",TEXT(A54,"MMMM YYYY"))</f>
        <v/>
      </c>
      <c r="K54" s="9">
        <f>IF(A54="","",WEEKNUM(A54))</f>
        <v/>
      </c>
      <c r="L54" s="9">
        <f>IF(A54="","",MONTH(A54))</f>
        <v/>
      </c>
      <c r="M54" s="9">
        <f>IF(A54="","",YEAR(A54))</f>
        <v/>
      </c>
    </row>
    <row r="55">
      <c r="A55" s="47" t="n"/>
      <c r="B55" s="48" t="n"/>
      <c r="C55" s="48" t="n"/>
      <c r="D55" s="48" t="n"/>
      <c r="E55" s="73" t="n"/>
      <c r="F55" s="48" t="n"/>
      <c r="G55" s="48" t="n"/>
      <c r="H55" s="48" t="n"/>
      <c r="I55" s="48" t="n"/>
      <c r="J55" s="12">
        <f>IF(A55="","",TEXT(A55,"MMMM YYYY"))</f>
        <v/>
      </c>
      <c r="K55" s="12">
        <f>IF(A55="","",WEEKNUM(A55))</f>
        <v/>
      </c>
      <c r="L55" s="12">
        <f>IF(A55="","",MONTH(A55))</f>
        <v/>
      </c>
      <c r="M55" s="12">
        <f>IF(A55="","",YEAR(A55))</f>
        <v/>
      </c>
    </row>
    <row r="56">
      <c r="A56" s="43" t="n"/>
      <c r="B56" s="44" t="n"/>
      <c r="C56" s="44" t="n"/>
      <c r="D56" s="44" t="n"/>
      <c r="E56" s="72" t="n"/>
      <c r="F56" s="44" t="n"/>
      <c r="G56" s="44" t="n"/>
      <c r="H56" s="44" t="n"/>
      <c r="I56" s="44" t="n"/>
      <c r="J56" s="9">
        <f>IF(A56="","",TEXT(A56,"MMMM YYYY"))</f>
        <v/>
      </c>
      <c r="K56" s="9">
        <f>IF(A56="","",WEEKNUM(A56))</f>
        <v/>
      </c>
      <c r="L56" s="9">
        <f>IF(A56="","",MONTH(A56))</f>
        <v/>
      </c>
      <c r="M56" s="9">
        <f>IF(A56="","",YEAR(A56))</f>
        <v/>
      </c>
    </row>
    <row r="57">
      <c r="A57" s="47" t="n"/>
      <c r="B57" s="48" t="n"/>
      <c r="C57" s="48" t="n"/>
      <c r="D57" s="48" t="n"/>
      <c r="E57" s="73" t="n"/>
      <c r="F57" s="48" t="n"/>
      <c r="G57" s="48" t="n"/>
      <c r="H57" s="48" t="n"/>
      <c r="I57" s="48" t="n"/>
      <c r="J57" s="12">
        <f>IF(A57="","",TEXT(A57,"MMMM YYYY"))</f>
        <v/>
      </c>
      <c r="K57" s="12">
        <f>IF(A57="","",WEEKNUM(A57))</f>
        <v/>
      </c>
      <c r="L57" s="12">
        <f>IF(A57="","",MONTH(A57))</f>
        <v/>
      </c>
      <c r="M57" s="12">
        <f>IF(A57="","",YEAR(A57))</f>
        <v/>
      </c>
    </row>
    <row r="58">
      <c r="A58" s="43" t="n"/>
      <c r="B58" s="44" t="n"/>
      <c r="C58" s="44" t="n"/>
      <c r="D58" s="44" t="n"/>
      <c r="E58" s="72" t="n"/>
      <c r="F58" s="44" t="n"/>
      <c r="G58" s="44" t="n"/>
      <c r="H58" s="44" t="n"/>
      <c r="I58" s="44" t="n"/>
      <c r="J58" s="9">
        <f>IF(A58="","",TEXT(A58,"MMMM YYYY"))</f>
        <v/>
      </c>
      <c r="K58" s="9">
        <f>IF(A58="","",WEEKNUM(A58))</f>
        <v/>
      </c>
      <c r="L58" s="9">
        <f>IF(A58="","",MONTH(A58))</f>
        <v/>
      </c>
      <c r="M58" s="9">
        <f>IF(A58="","",YEAR(A58))</f>
        <v/>
      </c>
    </row>
    <row r="59">
      <c r="A59" s="47" t="n"/>
      <c r="B59" s="48" t="n"/>
      <c r="C59" s="48" t="n"/>
      <c r="D59" s="48" t="n"/>
      <c r="E59" s="73" t="n"/>
      <c r="F59" s="48" t="n"/>
      <c r="G59" s="48" t="n"/>
      <c r="H59" s="48" t="n"/>
      <c r="I59" s="48" t="n"/>
      <c r="J59" s="12">
        <f>IF(A59="","",TEXT(A59,"MMMM YYYY"))</f>
        <v/>
      </c>
      <c r="K59" s="12">
        <f>IF(A59="","",WEEKNUM(A59))</f>
        <v/>
      </c>
      <c r="L59" s="12">
        <f>IF(A59="","",MONTH(A59))</f>
        <v/>
      </c>
      <c r="M59" s="12">
        <f>IF(A59="","",YEAR(A59))</f>
        <v/>
      </c>
    </row>
    <row r="60">
      <c r="A60" s="43" t="n"/>
      <c r="B60" s="44" t="n"/>
      <c r="C60" s="44" t="n"/>
      <c r="D60" s="44" t="n"/>
      <c r="E60" s="72" t="n"/>
      <c r="F60" s="44" t="n"/>
      <c r="G60" s="44" t="n"/>
      <c r="H60" s="44" t="n"/>
      <c r="I60" s="44" t="n"/>
      <c r="J60" s="9">
        <f>IF(A60="","",TEXT(A60,"MMMM YYYY"))</f>
        <v/>
      </c>
      <c r="K60" s="9">
        <f>IF(A60="","",WEEKNUM(A60))</f>
        <v/>
      </c>
      <c r="L60" s="9">
        <f>IF(A60="","",MONTH(A60))</f>
        <v/>
      </c>
      <c r="M60" s="9">
        <f>IF(A60="","",YEAR(A60))</f>
        <v/>
      </c>
    </row>
    <row r="61">
      <c r="A61" s="47" t="n"/>
      <c r="B61" s="48" t="n"/>
      <c r="C61" s="48" t="n"/>
      <c r="D61" s="48" t="n"/>
      <c r="E61" s="73" t="n"/>
      <c r="F61" s="48" t="n"/>
      <c r="G61" s="48" t="n"/>
      <c r="H61" s="48" t="n"/>
      <c r="I61" s="48" t="n"/>
      <c r="J61" s="12">
        <f>IF(A61="","",TEXT(A61,"MMMM YYYY"))</f>
        <v/>
      </c>
      <c r="K61" s="12">
        <f>IF(A61="","",WEEKNUM(A61))</f>
        <v/>
      </c>
      <c r="L61" s="12">
        <f>IF(A61="","",MONTH(A61))</f>
        <v/>
      </c>
      <c r="M61" s="12">
        <f>IF(A61="","",YEAR(A61))</f>
        <v/>
      </c>
    </row>
    <row r="62">
      <c r="A62" s="43" t="n"/>
      <c r="B62" s="44" t="n"/>
      <c r="C62" s="44" t="n"/>
      <c r="D62" s="44" t="n"/>
      <c r="E62" s="72" t="n"/>
      <c r="F62" s="44" t="n"/>
      <c r="G62" s="44" t="n"/>
      <c r="H62" s="44" t="n"/>
      <c r="I62" s="44" t="n"/>
      <c r="J62" s="9">
        <f>IF(A62="","",TEXT(A62,"MMMM YYYY"))</f>
        <v/>
      </c>
      <c r="K62" s="9">
        <f>IF(A62="","",WEEKNUM(A62))</f>
        <v/>
      </c>
      <c r="L62" s="9">
        <f>IF(A62="","",MONTH(A62))</f>
        <v/>
      </c>
      <c r="M62" s="9">
        <f>IF(A62="","",YEAR(A62))</f>
        <v/>
      </c>
    </row>
    <row r="63">
      <c r="A63" s="47" t="n"/>
      <c r="B63" s="48" t="n"/>
      <c r="C63" s="48" t="n"/>
      <c r="D63" s="48" t="n"/>
      <c r="E63" s="73" t="n"/>
      <c r="F63" s="48" t="n"/>
      <c r="G63" s="48" t="n"/>
      <c r="H63" s="48" t="n"/>
      <c r="I63" s="48" t="n"/>
      <c r="J63" s="12">
        <f>IF(A63="","",TEXT(A63,"MMMM YYYY"))</f>
        <v/>
      </c>
      <c r="K63" s="12">
        <f>IF(A63="","",WEEKNUM(A63))</f>
        <v/>
      </c>
      <c r="L63" s="12">
        <f>IF(A63="","",MONTH(A63))</f>
        <v/>
      </c>
      <c r="M63" s="12">
        <f>IF(A63="","",YEAR(A63))</f>
        <v/>
      </c>
    </row>
    <row r="64">
      <c r="A64" s="43" t="n"/>
      <c r="B64" s="44" t="n"/>
      <c r="C64" s="44" t="n"/>
      <c r="D64" s="44" t="n"/>
      <c r="E64" s="72" t="n"/>
      <c r="F64" s="44" t="n"/>
      <c r="G64" s="44" t="n"/>
      <c r="H64" s="44" t="n"/>
      <c r="I64" s="44" t="n"/>
      <c r="J64" s="9">
        <f>IF(A64="","",TEXT(A64,"MMMM YYYY"))</f>
        <v/>
      </c>
      <c r="K64" s="9">
        <f>IF(A64="","",WEEKNUM(A64))</f>
        <v/>
      </c>
      <c r="L64" s="9">
        <f>IF(A64="","",MONTH(A64))</f>
        <v/>
      </c>
      <c r="M64" s="9">
        <f>IF(A64="","",YEAR(A64))</f>
        <v/>
      </c>
    </row>
    <row r="65">
      <c r="A65" s="47" t="n"/>
      <c r="B65" s="48" t="n"/>
      <c r="C65" s="48" t="n"/>
      <c r="D65" s="48" t="n"/>
      <c r="E65" s="73" t="n"/>
      <c r="F65" s="48" t="n"/>
      <c r="G65" s="48" t="n"/>
      <c r="H65" s="48" t="n"/>
      <c r="I65" s="48" t="n"/>
      <c r="J65" s="12">
        <f>IF(A65="","",TEXT(A65,"MMMM YYYY"))</f>
        <v/>
      </c>
      <c r="K65" s="12">
        <f>IF(A65="","",WEEKNUM(A65))</f>
        <v/>
      </c>
      <c r="L65" s="12">
        <f>IF(A65="","",MONTH(A65))</f>
        <v/>
      </c>
      <c r="M65" s="12">
        <f>IF(A65="","",YEAR(A65))</f>
        <v/>
      </c>
    </row>
    <row r="66">
      <c r="A66" s="43" t="n"/>
      <c r="B66" s="44" t="n"/>
      <c r="C66" s="44" t="n"/>
      <c r="D66" s="44" t="n"/>
      <c r="E66" s="72" t="n"/>
      <c r="F66" s="44" t="n"/>
      <c r="G66" s="44" t="n"/>
      <c r="H66" s="44" t="n"/>
      <c r="I66" s="44" t="n"/>
      <c r="J66" s="9">
        <f>IF(A66="","",TEXT(A66,"MMMM YYYY"))</f>
        <v/>
      </c>
      <c r="K66" s="9">
        <f>IF(A66="","",WEEKNUM(A66))</f>
        <v/>
      </c>
      <c r="L66" s="9">
        <f>IF(A66="","",MONTH(A66))</f>
        <v/>
      </c>
      <c r="M66" s="9">
        <f>IF(A66="","",YEAR(A66))</f>
        <v/>
      </c>
    </row>
    <row r="67">
      <c r="A67" s="47" t="n"/>
      <c r="B67" s="48" t="n"/>
      <c r="C67" s="48" t="n"/>
      <c r="D67" s="48" t="n"/>
      <c r="E67" s="73" t="n"/>
      <c r="F67" s="48" t="n"/>
      <c r="G67" s="48" t="n"/>
      <c r="H67" s="48" t="n"/>
      <c r="I67" s="48" t="n"/>
      <c r="J67" s="12">
        <f>IF(A67="","",TEXT(A67,"MMMM YYYY"))</f>
        <v/>
      </c>
      <c r="K67" s="12">
        <f>IF(A67="","",WEEKNUM(A67))</f>
        <v/>
      </c>
      <c r="L67" s="12">
        <f>IF(A67="","",MONTH(A67))</f>
        <v/>
      </c>
      <c r="M67" s="12">
        <f>IF(A67="","",YEAR(A67))</f>
        <v/>
      </c>
    </row>
    <row r="68">
      <c r="A68" s="43" t="n"/>
      <c r="B68" s="44" t="n"/>
      <c r="C68" s="44" t="n"/>
      <c r="D68" s="44" t="n"/>
      <c r="E68" s="72" t="n"/>
      <c r="F68" s="44" t="n"/>
      <c r="G68" s="44" t="n"/>
      <c r="H68" s="44" t="n"/>
      <c r="I68" s="44" t="n"/>
      <c r="J68" s="9">
        <f>IF(A68="","",TEXT(A68,"MMMM YYYY"))</f>
        <v/>
      </c>
      <c r="K68" s="9">
        <f>IF(A68="","",WEEKNUM(A68))</f>
        <v/>
      </c>
      <c r="L68" s="9">
        <f>IF(A68="","",MONTH(A68))</f>
        <v/>
      </c>
      <c r="M68" s="9">
        <f>IF(A68="","",YEAR(A68))</f>
        <v/>
      </c>
    </row>
    <row r="69">
      <c r="A69" s="47" t="n"/>
      <c r="B69" s="48" t="n"/>
      <c r="C69" s="48" t="n"/>
      <c r="D69" s="48" t="n"/>
      <c r="E69" s="73" t="n"/>
      <c r="F69" s="48" t="n"/>
      <c r="G69" s="48" t="n"/>
      <c r="H69" s="48" t="n"/>
      <c r="I69" s="48" t="n"/>
      <c r="J69" s="12">
        <f>IF(A69="","",TEXT(A69,"MMMM YYYY"))</f>
        <v/>
      </c>
      <c r="K69" s="12">
        <f>IF(A69="","",WEEKNUM(A69))</f>
        <v/>
      </c>
      <c r="L69" s="12">
        <f>IF(A69="","",MONTH(A69))</f>
        <v/>
      </c>
      <c r="M69" s="12">
        <f>IF(A69="","",YEAR(A69))</f>
        <v/>
      </c>
    </row>
    <row r="70">
      <c r="A70" s="43" t="n"/>
      <c r="B70" s="44" t="n"/>
      <c r="C70" s="44" t="n"/>
      <c r="D70" s="44" t="n"/>
      <c r="E70" s="72" t="n"/>
      <c r="F70" s="44" t="n"/>
      <c r="G70" s="44" t="n"/>
      <c r="H70" s="44" t="n"/>
      <c r="I70" s="44" t="n"/>
      <c r="J70" s="9">
        <f>IF(A70="","",TEXT(A70,"MMMM YYYY"))</f>
        <v/>
      </c>
      <c r="K70" s="9">
        <f>IF(A70="","",WEEKNUM(A70))</f>
        <v/>
      </c>
      <c r="L70" s="9">
        <f>IF(A70="","",MONTH(A70))</f>
        <v/>
      </c>
      <c r="M70" s="9">
        <f>IF(A70="","",YEAR(A70))</f>
        <v/>
      </c>
    </row>
    <row r="71">
      <c r="A71" s="47" t="n"/>
      <c r="B71" s="48" t="n"/>
      <c r="C71" s="48" t="n"/>
      <c r="D71" s="48" t="n"/>
      <c r="E71" s="73" t="n"/>
      <c r="F71" s="48" t="n"/>
      <c r="G71" s="48" t="n"/>
      <c r="H71" s="48" t="n"/>
      <c r="I71" s="48" t="n"/>
      <c r="J71" s="12">
        <f>IF(A71="","",TEXT(A71,"MMMM YYYY"))</f>
        <v/>
      </c>
      <c r="K71" s="12">
        <f>IF(A71="","",WEEKNUM(A71))</f>
        <v/>
      </c>
      <c r="L71" s="12">
        <f>IF(A71="","",MONTH(A71))</f>
        <v/>
      </c>
      <c r="M71" s="12">
        <f>IF(A71="","",YEAR(A71))</f>
        <v/>
      </c>
    </row>
    <row r="72">
      <c r="A72" s="43" t="n"/>
      <c r="B72" s="44" t="n"/>
      <c r="C72" s="44" t="n"/>
      <c r="D72" s="44" t="n"/>
      <c r="E72" s="72" t="n"/>
      <c r="F72" s="44" t="n"/>
      <c r="G72" s="44" t="n"/>
      <c r="H72" s="44" t="n"/>
      <c r="I72" s="44" t="n"/>
      <c r="J72" s="9">
        <f>IF(A72="","",TEXT(A72,"MMMM YYYY"))</f>
        <v/>
      </c>
      <c r="K72" s="9">
        <f>IF(A72="","",WEEKNUM(A72))</f>
        <v/>
      </c>
      <c r="L72" s="9">
        <f>IF(A72="","",MONTH(A72))</f>
        <v/>
      </c>
      <c r="M72" s="9">
        <f>IF(A72="","",YEAR(A72))</f>
        <v/>
      </c>
    </row>
    <row r="73">
      <c r="A73" s="47" t="n"/>
      <c r="B73" s="48" t="n"/>
      <c r="C73" s="48" t="n"/>
      <c r="D73" s="48" t="n"/>
      <c r="E73" s="73" t="n"/>
      <c r="F73" s="48" t="n"/>
      <c r="G73" s="48" t="n"/>
      <c r="H73" s="48" t="n"/>
      <c r="I73" s="48" t="n"/>
      <c r="J73" s="12">
        <f>IF(A73="","",TEXT(A73,"MMMM YYYY"))</f>
        <v/>
      </c>
      <c r="K73" s="12">
        <f>IF(A73="","",WEEKNUM(A73))</f>
        <v/>
      </c>
      <c r="L73" s="12">
        <f>IF(A73="","",MONTH(A73))</f>
        <v/>
      </c>
      <c r="M73" s="12">
        <f>IF(A73="","",YEAR(A73))</f>
        <v/>
      </c>
    </row>
    <row r="74">
      <c r="A74" s="43" t="n"/>
      <c r="B74" s="44" t="n"/>
      <c r="C74" s="44" t="n"/>
      <c r="D74" s="44" t="n"/>
      <c r="E74" s="72" t="n"/>
      <c r="F74" s="44" t="n"/>
      <c r="G74" s="44" t="n"/>
      <c r="H74" s="44" t="n"/>
      <c r="I74" s="44" t="n"/>
      <c r="J74" s="9">
        <f>IF(A74="","",TEXT(A74,"MMMM YYYY"))</f>
        <v/>
      </c>
      <c r="K74" s="9">
        <f>IF(A74="","",WEEKNUM(A74))</f>
        <v/>
      </c>
      <c r="L74" s="9">
        <f>IF(A74="","",MONTH(A74))</f>
        <v/>
      </c>
      <c r="M74" s="9">
        <f>IF(A74="","",YEAR(A74))</f>
        <v/>
      </c>
    </row>
    <row r="75">
      <c r="A75" s="47" t="n"/>
      <c r="B75" s="48" t="n"/>
      <c r="C75" s="48" t="n"/>
      <c r="D75" s="48" t="n"/>
      <c r="E75" s="73" t="n"/>
      <c r="F75" s="48" t="n"/>
      <c r="G75" s="48" t="n"/>
      <c r="H75" s="48" t="n"/>
      <c r="I75" s="48" t="n"/>
      <c r="J75" s="12">
        <f>IF(A75="","",TEXT(A75,"MMMM YYYY"))</f>
        <v/>
      </c>
      <c r="K75" s="12">
        <f>IF(A75="","",WEEKNUM(A75))</f>
        <v/>
      </c>
      <c r="L75" s="12">
        <f>IF(A75="","",MONTH(A75))</f>
        <v/>
      </c>
      <c r="M75" s="12">
        <f>IF(A75="","",YEAR(A75))</f>
        <v/>
      </c>
    </row>
    <row r="76">
      <c r="A76" s="43" t="n"/>
      <c r="B76" s="44" t="n"/>
      <c r="C76" s="44" t="n"/>
      <c r="D76" s="44" t="n"/>
      <c r="E76" s="72" t="n"/>
      <c r="F76" s="44" t="n"/>
      <c r="G76" s="44" t="n"/>
      <c r="H76" s="44" t="n"/>
      <c r="I76" s="44" t="n"/>
      <c r="J76" s="9">
        <f>IF(A76="","",TEXT(A76,"MMMM YYYY"))</f>
        <v/>
      </c>
      <c r="K76" s="9">
        <f>IF(A76="","",WEEKNUM(A76))</f>
        <v/>
      </c>
      <c r="L76" s="9">
        <f>IF(A76="","",MONTH(A76))</f>
        <v/>
      </c>
      <c r="M76" s="9">
        <f>IF(A76="","",YEAR(A76))</f>
        <v/>
      </c>
    </row>
    <row r="77">
      <c r="A77" s="47" t="n"/>
      <c r="B77" s="48" t="n"/>
      <c r="C77" s="48" t="n"/>
      <c r="D77" s="48" t="n"/>
      <c r="E77" s="73" t="n"/>
      <c r="F77" s="48" t="n"/>
      <c r="G77" s="48" t="n"/>
      <c r="H77" s="48" t="n"/>
      <c r="I77" s="48" t="n"/>
      <c r="J77" s="12">
        <f>IF(A77="","",TEXT(A77,"MMMM YYYY"))</f>
        <v/>
      </c>
      <c r="K77" s="12">
        <f>IF(A77="","",WEEKNUM(A77))</f>
        <v/>
      </c>
      <c r="L77" s="12">
        <f>IF(A77="","",MONTH(A77))</f>
        <v/>
      </c>
      <c r="M77" s="12">
        <f>IF(A77="","",YEAR(A77))</f>
        <v/>
      </c>
    </row>
    <row r="78">
      <c r="A78" s="43" t="n"/>
      <c r="B78" s="44" t="n"/>
      <c r="C78" s="44" t="n"/>
      <c r="D78" s="44" t="n"/>
      <c r="E78" s="72" t="n"/>
      <c r="F78" s="44" t="n"/>
      <c r="G78" s="44" t="n"/>
      <c r="H78" s="44" t="n"/>
      <c r="I78" s="44" t="n"/>
      <c r="J78" s="9">
        <f>IF(A78="","",TEXT(A78,"MMMM YYYY"))</f>
        <v/>
      </c>
      <c r="K78" s="9">
        <f>IF(A78="","",WEEKNUM(A78))</f>
        <v/>
      </c>
      <c r="L78" s="9">
        <f>IF(A78="","",MONTH(A78))</f>
        <v/>
      </c>
      <c r="M78" s="9">
        <f>IF(A78="","",YEAR(A78))</f>
        <v/>
      </c>
    </row>
    <row r="79">
      <c r="A79" s="47" t="n"/>
      <c r="B79" s="48" t="n"/>
      <c r="C79" s="48" t="n"/>
      <c r="D79" s="48" t="n"/>
      <c r="E79" s="73" t="n"/>
      <c r="F79" s="48" t="n"/>
      <c r="G79" s="48" t="n"/>
      <c r="H79" s="48" t="n"/>
      <c r="I79" s="48" t="n"/>
      <c r="J79" s="12">
        <f>IF(A79="","",TEXT(A79,"MMMM YYYY"))</f>
        <v/>
      </c>
      <c r="K79" s="12">
        <f>IF(A79="","",WEEKNUM(A79))</f>
        <v/>
      </c>
      <c r="L79" s="12">
        <f>IF(A79="","",MONTH(A79))</f>
        <v/>
      </c>
      <c r="M79" s="12">
        <f>IF(A79="","",YEAR(A79))</f>
        <v/>
      </c>
    </row>
    <row r="80">
      <c r="A80" s="43" t="n"/>
      <c r="B80" s="44" t="n"/>
      <c r="C80" s="44" t="n"/>
      <c r="D80" s="44" t="n"/>
      <c r="E80" s="72" t="n"/>
      <c r="F80" s="44" t="n"/>
      <c r="G80" s="44" t="n"/>
      <c r="H80" s="44" t="n"/>
      <c r="I80" s="44" t="n"/>
      <c r="J80" s="9">
        <f>IF(A80="","",TEXT(A80,"MMMM YYYY"))</f>
        <v/>
      </c>
      <c r="K80" s="9">
        <f>IF(A80="","",WEEKNUM(A80))</f>
        <v/>
      </c>
      <c r="L80" s="9">
        <f>IF(A80="","",MONTH(A80))</f>
        <v/>
      </c>
      <c r="M80" s="9">
        <f>IF(A80="","",YEAR(A80))</f>
        <v/>
      </c>
    </row>
    <row r="81">
      <c r="A81" s="47" t="n"/>
      <c r="B81" s="48" t="n"/>
      <c r="C81" s="48" t="n"/>
      <c r="D81" s="48" t="n"/>
      <c r="E81" s="73" t="n"/>
      <c r="F81" s="48" t="n"/>
      <c r="G81" s="48" t="n"/>
      <c r="H81" s="48" t="n"/>
      <c r="I81" s="48" t="n"/>
      <c r="J81" s="12">
        <f>IF(A81="","",TEXT(A81,"MMMM YYYY"))</f>
        <v/>
      </c>
      <c r="K81" s="12">
        <f>IF(A81="","",WEEKNUM(A81))</f>
        <v/>
      </c>
      <c r="L81" s="12">
        <f>IF(A81="","",MONTH(A81))</f>
        <v/>
      </c>
      <c r="M81" s="12">
        <f>IF(A81="","",YEAR(A81))</f>
        <v/>
      </c>
    </row>
    <row r="82">
      <c r="A82" s="43" t="n"/>
      <c r="B82" s="44" t="n"/>
      <c r="C82" s="44" t="n"/>
      <c r="D82" s="44" t="n"/>
      <c r="E82" s="72" t="n"/>
      <c r="F82" s="44" t="n"/>
      <c r="G82" s="44" t="n"/>
      <c r="H82" s="44" t="n"/>
      <c r="I82" s="44" t="n"/>
      <c r="J82" s="9">
        <f>IF(A82="","",TEXT(A82,"MMMM YYYY"))</f>
        <v/>
      </c>
      <c r="K82" s="9">
        <f>IF(A82="","",WEEKNUM(A82))</f>
        <v/>
      </c>
      <c r="L82" s="9">
        <f>IF(A82="","",MONTH(A82))</f>
        <v/>
      </c>
      <c r="M82" s="9">
        <f>IF(A82="","",YEAR(A82))</f>
        <v/>
      </c>
    </row>
    <row r="83">
      <c r="A83" s="47" t="n"/>
      <c r="B83" s="48" t="n"/>
      <c r="C83" s="48" t="n"/>
      <c r="D83" s="48" t="n"/>
      <c r="E83" s="73" t="n"/>
      <c r="F83" s="48" t="n"/>
      <c r="G83" s="48" t="n"/>
      <c r="H83" s="48" t="n"/>
      <c r="I83" s="48" t="n"/>
      <c r="J83" s="12">
        <f>IF(A83="","",TEXT(A83,"MMMM YYYY"))</f>
        <v/>
      </c>
      <c r="K83" s="12">
        <f>IF(A83="","",WEEKNUM(A83))</f>
        <v/>
      </c>
      <c r="L83" s="12">
        <f>IF(A83="","",MONTH(A83))</f>
        <v/>
      </c>
      <c r="M83" s="12">
        <f>IF(A83="","",YEAR(A83))</f>
        <v/>
      </c>
    </row>
    <row r="84">
      <c r="A84" s="43" t="n"/>
      <c r="B84" s="44" t="n"/>
      <c r="C84" s="44" t="n"/>
      <c r="D84" s="44" t="n"/>
      <c r="E84" s="72" t="n"/>
      <c r="F84" s="44" t="n"/>
      <c r="G84" s="44" t="n"/>
      <c r="H84" s="44" t="n"/>
      <c r="I84" s="44" t="n"/>
      <c r="J84" s="9">
        <f>IF(A84="","",TEXT(A84,"MMMM YYYY"))</f>
        <v/>
      </c>
      <c r="K84" s="9">
        <f>IF(A84="","",WEEKNUM(A84))</f>
        <v/>
      </c>
      <c r="L84" s="9">
        <f>IF(A84="","",MONTH(A84))</f>
        <v/>
      </c>
      <c r="M84" s="9">
        <f>IF(A84="","",YEAR(A84))</f>
        <v/>
      </c>
    </row>
    <row r="85">
      <c r="A85" s="47" t="n"/>
      <c r="B85" s="48" t="n"/>
      <c r="C85" s="48" t="n"/>
      <c r="D85" s="48" t="n"/>
      <c r="E85" s="73" t="n"/>
      <c r="F85" s="48" t="n"/>
      <c r="G85" s="48" t="n"/>
      <c r="H85" s="48" t="n"/>
      <c r="I85" s="48" t="n"/>
      <c r="J85" s="12">
        <f>IF(A85="","",TEXT(A85,"MMMM YYYY"))</f>
        <v/>
      </c>
      <c r="K85" s="12">
        <f>IF(A85="","",WEEKNUM(A85))</f>
        <v/>
      </c>
      <c r="L85" s="12">
        <f>IF(A85="","",MONTH(A85))</f>
        <v/>
      </c>
      <c r="M85" s="12">
        <f>IF(A85="","",YEAR(A85))</f>
        <v/>
      </c>
    </row>
    <row r="86">
      <c r="A86" s="43" t="n"/>
      <c r="B86" s="44" t="n"/>
      <c r="C86" s="44" t="n"/>
      <c r="D86" s="44" t="n"/>
      <c r="E86" s="72" t="n"/>
      <c r="F86" s="44" t="n"/>
      <c r="G86" s="44" t="n"/>
      <c r="H86" s="44" t="n"/>
      <c r="I86" s="44" t="n"/>
      <c r="J86" s="9">
        <f>IF(A86="","",TEXT(A86,"MMMM YYYY"))</f>
        <v/>
      </c>
      <c r="K86" s="9">
        <f>IF(A86="","",WEEKNUM(A86))</f>
        <v/>
      </c>
      <c r="L86" s="9">
        <f>IF(A86="","",MONTH(A86))</f>
        <v/>
      </c>
      <c r="M86" s="9">
        <f>IF(A86="","",YEAR(A86))</f>
        <v/>
      </c>
    </row>
    <row r="87">
      <c r="A87" s="47" t="n"/>
      <c r="B87" s="48" t="n"/>
      <c r="C87" s="48" t="n"/>
      <c r="D87" s="48" t="n"/>
      <c r="E87" s="73" t="n"/>
      <c r="F87" s="48" t="n"/>
      <c r="G87" s="48" t="n"/>
      <c r="H87" s="48" t="n"/>
      <c r="I87" s="48" t="n"/>
      <c r="J87" s="12">
        <f>IF(A87="","",TEXT(A87,"MMMM YYYY"))</f>
        <v/>
      </c>
      <c r="K87" s="12">
        <f>IF(A87="","",WEEKNUM(A87))</f>
        <v/>
      </c>
      <c r="L87" s="12">
        <f>IF(A87="","",MONTH(A87))</f>
        <v/>
      </c>
      <c r="M87" s="12">
        <f>IF(A87="","",YEAR(A87))</f>
        <v/>
      </c>
    </row>
    <row r="88">
      <c r="A88" s="43" t="n"/>
      <c r="B88" s="44" t="n"/>
      <c r="C88" s="44" t="n"/>
      <c r="D88" s="44" t="n"/>
      <c r="E88" s="72" t="n"/>
      <c r="F88" s="44" t="n"/>
      <c r="G88" s="44" t="n"/>
      <c r="H88" s="44" t="n"/>
      <c r="I88" s="44" t="n"/>
      <c r="J88" s="9">
        <f>IF(A88="","",TEXT(A88,"MMMM YYYY"))</f>
        <v/>
      </c>
      <c r="K88" s="9">
        <f>IF(A88="","",WEEKNUM(A88))</f>
        <v/>
      </c>
      <c r="L88" s="9">
        <f>IF(A88="","",MONTH(A88))</f>
        <v/>
      </c>
      <c r="M88" s="9">
        <f>IF(A88="","",YEAR(A88))</f>
        <v/>
      </c>
    </row>
    <row r="89">
      <c r="A89" s="47" t="n"/>
      <c r="B89" s="48" t="n"/>
      <c r="C89" s="48" t="n"/>
      <c r="D89" s="48" t="n"/>
      <c r="E89" s="73" t="n"/>
      <c r="F89" s="48" t="n"/>
      <c r="G89" s="48" t="n"/>
      <c r="H89" s="48" t="n"/>
      <c r="I89" s="48" t="n"/>
      <c r="J89" s="12">
        <f>IF(A89="","",TEXT(A89,"MMMM YYYY"))</f>
        <v/>
      </c>
      <c r="K89" s="12">
        <f>IF(A89="","",WEEKNUM(A89))</f>
        <v/>
      </c>
      <c r="L89" s="12">
        <f>IF(A89="","",MONTH(A89))</f>
        <v/>
      </c>
      <c r="M89" s="12">
        <f>IF(A89="","",YEAR(A89))</f>
        <v/>
      </c>
    </row>
    <row r="90">
      <c r="A90" s="43" t="n"/>
      <c r="B90" s="44" t="n"/>
      <c r="C90" s="44" t="n"/>
      <c r="D90" s="44" t="n"/>
      <c r="E90" s="72" t="n"/>
      <c r="F90" s="44" t="n"/>
      <c r="G90" s="44" t="n"/>
      <c r="H90" s="44" t="n"/>
      <c r="I90" s="44" t="n"/>
      <c r="J90" s="9">
        <f>IF(A90="","",TEXT(A90,"MMMM YYYY"))</f>
        <v/>
      </c>
      <c r="K90" s="9">
        <f>IF(A90="","",WEEKNUM(A90))</f>
        <v/>
      </c>
      <c r="L90" s="9">
        <f>IF(A90="","",MONTH(A90))</f>
        <v/>
      </c>
      <c r="M90" s="9">
        <f>IF(A90="","",YEAR(A90))</f>
        <v/>
      </c>
    </row>
    <row r="91">
      <c r="A91" s="47" t="n"/>
      <c r="B91" s="48" t="n"/>
      <c r="C91" s="48" t="n"/>
      <c r="D91" s="48" t="n"/>
      <c r="E91" s="73" t="n"/>
      <c r="F91" s="48" t="n"/>
      <c r="G91" s="48" t="n"/>
      <c r="H91" s="48" t="n"/>
      <c r="I91" s="48" t="n"/>
      <c r="J91" s="12">
        <f>IF(A91="","",TEXT(A91,"MMMM YYYY"))</f>
        <v/>
      </c>
      <c r="K91" s="12">
        <f>IF(A91="","",WEEKNUM(A91))</f>
        <v/>
      </c>
      <c r="L91" s="12">
        <f>IF(A91="","",MONTH(A91))</f>
        <v/>
      </c>
      <c r="M91" s="12">
        <f>IF(A91="","",YEAR(A91))</f>
        <v/>
      </c>
    </row>
    <row r="92">
      <c r="A92" s="43" t="n"/>
      <c r="B92" s="44" t="n"/>
      <c r="C92" s="44" t="n"/>
      <c r="D92" s="44" t="n"/>
      <c r="E92" s="72" t="n"/>
      <c r="F92" s="44" t="n"/>
      <c r="G92" s="44" t="n"/>
      <c r="H92" s="44" t="n"/>
      <c r="I92" s="44" t="n"/>
      <c r="J92" s="9">
        <f>IF(A92="","",TEXT(A92,"MMMM YYYY"))</f>
        <v/>
      </c>
      <c r="K92" s="9">
        <f>IF(A92="","",WEEKNUM(A92))</f>
        <v/>
      </c>
      <c r="L92" s="9">
        <f>IF(A92="","",MONTH(A92))</f>
        <v/>
      </c>
      <c r="M92" s="9">
        <f>IF(A92="","",YEAR(A92))</f>
        <v/>
      </c>
    </row>
    <row r="93">
      <c r="A93" s="47" t="n"/>
      <c r="B93" s="48" t="n"/>
      <c r="C93" s="48" t="n"/>
      <c r="D93" s="48" t="n"/>
      <c r="E93" s="73" t="n"/>
      <c r="F93" s="48" t="n"/>
      <c r="G93" s="48" t="n"/>
      <c r="H93" s="48" t="n"/>
      <c r="I93" s="48" t="n"/>
      <c r="J93" s="12">
        <f>IF(A93="","",TEXT(A93,"MMMM YYYY"))</f>
        <v/>
      </c>
      <c r="K93" s="12">
        <f>IF(A93="","",WEEKNUM(A93))</f>
        <v/>
      </c>
      <c r="L93" s="12">
        <f>IF(A93="","",MONTH(A93))</f>
        <v/>
      </c>
      <c r="M93" s="12">
        <f>IF(A93="","",YEAR(A93))</f>
        <v/>
      </c>
    </row>
    <row r="94">
      <c r="A94" s="43" t="n"/>
      <c r="B94" s="44" t="n"/>
      <c r="C94" s="44" t="n"/>
      <c r="D94" s="44" t="n"/>
      <c r="E94" s="72" t="n"/>
      <c r="F94" s="44" t="n"/>
      <c r="G94" s="44" t="n"/>
      <c r="H94" s="44" t="n"/>
      <c r="I94" s="44" t="n"/>
      <c r="J94" s="9">
        <f>IF(A94="","",TEXT(A94,"MMMM YYYY"))</f>
        <v/>
      </c>
      <c r="K94" s="9">
        <f>IF(A94="","",WEEKNUM(A94))</f>
        <v/>
      </c>
      <c r="L94" s="9">
        <f>IF(A94="","",MONTH(A94))</f>
        <v/>
      </c>
      <c r="M94" s="9">
        <f>IF(A94="","",YEAR(A94))</f>
        <v/>
      </c>
    </row>
    <row r="95">
      <c r="A95" s="47" t="n"/>
      <c r="B95" s="48" t="n"/>
      <c r="C95" s="48" t="n"/>
      <c r="D95" s="48" t="n"/>
      <c r="E95" s="73" t="n"/>
      <c r="F95" s="48" t="n"/>
      <c r="G95" s="48" t="n"/>
      <c r="H95" s="48" t="n"/>
      <c r="I95" s="48" t="n"/>
      <c r="J95" s="12">
        <f>IF(A95="","",TEXT(A95,"MMMM YYYY"))</f>
        <v/>
      </c>
      <c r="K95" s="12">
        <f>IF(A95="","",WEEKNUM(A95))</f>
        <v/>
      </c>
      <c r="L95" s="12">
        <f>IF(A95="","",MONTH(A95))</f>
        <v/>
      </c>
      <c r="M95" s="12">
        <f>IF(A95="","",YEAR(A95))</f>
        <v/>
      </c>
    </row>
    <row r="96">
      <c r="A96" s="43" t="n"/>
      <c r="B96" s="44" t="n"/>
      <c r="C96" s="44" t="n"/>
      <c r="D96" s="44" t="n"/>
      <c r="E96" s="72" t="n"/>
      <c r="F96" s="44" t="n"/>
      <c r="G96" s="44" t="n"/>
      <c r="H96" s="44" t="n"/>
      <c r="I96" s="44" t="n"/>
      <c r="J96" s="9">
        <f>IF(A96="","",TEXT(A96,"MMMM YYYY"))</f>
        <v/>
      </c>
      <c r="K96" s="9">
        <f>IF(A96="","",WEEKNUM(A96))</f>
        <v/>
      </c>
      <c r="L96" s="9">
        <f>IF(A96="","",MONTH(A96))</f>
        <v/>
      </c>
      <c r="M96" s="9">
        <f>IF(A96="","",YEAR(A96))</f>
        <v/>
      </c>
    </row>
    <row r="97">
      <c r="A97" s="47" t="n"/>
      <c r="B97" s="48" t="n"/>
      <c r="C97" s="48" t="n"/>
      <c r="D97" s="48" t="n"/>
      <c r="E97" s="73" t="n"/>
      <c r="F97" s="48" t="n"/>
      <c r="G97" s="48" t="n"/>
      <c r="H97" s="48" t="n"/>
      <c r="I97" s="48" t="n"/>
      <c r="J97" s="12">
        <f>IF(A97="","",TEXT(A97,"MMMM YYYY"))</f>
        <v/>
      </c>
      <c r="K97" s="12">
        <f>IF(A97="","",WEEKNUM(A97))</f>
        <v/>
      </c>
      <c r="L97" s="12">
        <f>IF(A97="","",MONTH(A97))</f>
        <v/>
      </c>
      <c r="M97" s="12">
        <f>IF(A97="","",YEAR(A97))</f>
        <v/>
      </c>
    </row>
    <row r="98">
      <c r="A98" s="43" t="n"/>
      <c r="B98" s="44" t="n"/>
      <c r="C98" s="44" t="n"/>
      <c r="D98" s="44" t="n"/>
      <c r="E98" s="72" t="n"/>
      <c r="F98" s="44" t="n"/>
      <c r="G98" s="44" t="n"/>
      <c r="H98" s="44" t="n"/>
      <c r="I98" s="44" t="n"/>
      <c r="J98" s="9">
        <f>IF(A98="","",TEXT(A98,"MMMM YYYY"))</f>
        <v/>
      </c>
      <c r="K98" s="9">
        <f>IF(A98="","",WEEKNUM(A98))</f>
        <v/>
      </c>
      <c r="L98" s="9">
        <f>IF(A98="","",MONTH(A98))</f>
        <v/>
      </c>
      <c r="M98" s="9">
        <f>IF(A98="","",YEAR(A98))</f>
        <v/>
      </c>
    </row>
    <row r="99">
      <c r="A99" s="47" t="n"/>
      <c r="B99" s="48" t="n"/>
      <c r="C99" s="48" t="n"/>
      <c r="D99" s="48" t="n"/>
      <c r="E99" s="73" t="n"/>
      <c r="F99" s="48" t="n"/>
      <c r="G99" s="48" t="n"/>
      <c r="H99" s="48" t="n"/>
      <c r="I99" s="48" t="n"/>
      <c r="J99" s="12">
        <f>IF(A99="","",TEXT(A99,"MMMM YYYY"))</f>
        <v/>
      </c>
      <c r="K99" s="12">
        <f>IF(A99="","",WEEKNUM(A99))</f>
        <v/>
      </c>
      <c r="L99" s="12">
        <f>IF(A99="","",MONTH(A99))</f>
        <v/>
      </c>
      <c r="M99" s="12">
        <f>IF(A99="","",YEAR(A99))</f>
        <v/>
      </c>
    </row>
    <row r="100">
      <c r="A100" s="43" t="n"/>
      <c r="B100" s="44" t="n"/>
      <c r="C100" s="44" t="n"/>
      <c r="D100" s="44" t="n"/>
      <c r="E100" s="72" t="n"/>
      <c r="F100" s="44" t="n"/>
      <c r="G100" s="44" t="n"/>
      <c r="H100" s="44" t="n"/>
      <c r="I100" s="44" t="n"/>
      <c r="J100" s="9">
        <f>IF(A100="","",TEXT(A100,"MMMM YYYY"))</f>
        <v/>
      </c>
      <c r="K100" s="9">
        <f>IF(A100="","",WEEKNUM(A100))</f>
        <v/>
      </c>
      <c r="L100" s="9">
        <f>IF(A100="","",MONTH(A100))</f>
        <v/>
      </c>
      <c r="M100" s="9">
        <f>IF(A100="","",YEAR(A100))</f>
        <v/>
      </c>
    </row>
    <row r="101">
      <c r="A101" s="47" t="n"/>
      <c r="B101" s="48" t="n"/>
      <c r="C101" s="48" t="n"/>
      <c r="D101" s="48" t="n"/>
      <c r="E101" s="73" t="n"/>
      <c r="F101" s="48" t="n"/>
      <c r="G101" s="48" t="n"/>
      <c r="H101" s="48" t="n"/>
      <c r="I101" s="48" t="n"/>
      <c r="J101" s="12">
        <f>IF(A101="","",TEXT(A101,"MMMM YYYY"))</f>
        <v/>
      </c>
      <c r="K101" s="12">
        <f>IF(A101="","",WEEKNUM(A101))</f>
        <v/>
      </c>
      <c r="L101" s="12">
        <f>IF(A101="","",MONTH(A101))</f>
        <v/>
      </c>
      <c r="M101" s="12">
        <f>IF(A101="","",YEAR(A101))</f>
        <v/>
      </c>
    </row>
    <row r="102">
      <c r="A102" s="43" t="n"/>
      <c r="B102" s="44" t="n"/>
      <c r="C102" s="44" t="n"/>
      <c r="D102" s="44" t="n"/>
      <c r="E102" s="72" t="n"/>
      <c r="F102" s="44" t="n"/>
      <c r="G102" s="44" t="n"/>
      <c r="H102" s="44" t="n"/>
      <c r="I102" s="44" t="n"/>
      <c r="J102" s="9">
        <f>IF(A102="","",TEXT(A102,"MMMM YYYY"))</f>
        <v/>
      </c>
      <c r="K102" s="9">
        <f>IF(A102="","",WEEKNUM(A102))</f>
        <v/>
      </c>
      <c r="L102" s="9">
        <f>IF(A102="","",MONTH(A102))</f>
        <v/>
      </c>
      <c r="M102" s="9">
        <f>IF(A102="","",YEAR(A102))</f>
        <v/>
      </c>
    </row>
    <row r="103">
      <c r="A103" s="47" t="n"/>
      <c r="B103" s="48" t="n"/>
      <c r="C103" s="48" t="n"/>
      <c r="D103" s="48" t="n"/>
      <c r="E103" s="73" t="n"/>
      <c r="F103" s="48" t="n"/>
      <c r="G103" s="48" t="n"/>
      <c r="H103" s="48" t="n"/>
      <c r="I103" s="48" t="n"/>
      <c r="J103" s="12">
        <f>IF(A103="","",TEXT(A103,"MMMM YYYY"))</f>
        <v/>
      </c>
      <c r="K103" s="12">
        <f>IF(A103="","",WEEKNUM(A103))</f>
        <v/>
      </c>
      <c r="L103" s="12">
        <f>IF(A103="","",MONTH(A103))</f>
        <v/>
      </c>
      <c r="M103" s="12">
        <f>IF(A103="","",YEAR(A103))</f>
        <v/>
      </c>
    </row>
    <row r="104">
      <c r="A104" s="43" t="n"/>
      <c r="B104" s="44" t="n"/>
      <c r="C104" s="44" t="n"/>
      <c r="D104" s="44" t="n"/>
      <c r="E104" s="72" t="n"/>
      <c r="F104" s="44" t="n"/>
      <c r="G104" s="44" t="n"/>
      <c r="H104" s="44" t="n"/>
      <c r="I104" s="44" t="n"/>
      <c r="J104" s="9">
        <f>IF(A104="","",TEXT(A104,"MMMM YYYY"))</f>
        <v/>
      </c>
      <c r="K104" s="9">
        <f>IF(A104="","",WEEKNUM(A104))</f>
        <v/>
      </c>
      <c r="L104" s="9">
        <f>IF(A104="","",MONTH(A104))</f>
        <v/>
      </c>
      <c r="M104" s="9">
        <f>IF(A104="","",YEAR(A104))</f>
        <v/>
      </c>
    </row>
    <row r="105">
      <c r="A105" s="47" t="n"/>
      <c r="B105" s="48" t="n"/>
      <c r="C105" s="48" t="n"/>
      <c r="D105" s="48" t="n"/>
      <c r="E105" s="73" t="n"/>
      <c r="F105" s="48" t="n"/>
      <c r="G105" s="48" t="n"/>
      <c r="H105" s="48" t="n"/>
      <c r="I105" s="48" t="n"/>
      <c r="J105" s="12">
        <f>IF(A105="","",TEXT(A105,"MMMM YYYY"))</f>
        <v/>
      </c>
      <c r="K105" s="12">
        <f>IF(A105="","",WEEKNUM(A105))</f>
        <v/>
      </c>
      <c r="L105" s="12">
        <f>IF(A105="","",MONTH(A105))</f>
        <v/>
      </c>
      <c r="M105" s="12">
        <f>IF(A105="","",YEAR(A105))</f>
        <v/>
      </c>
    </row>
    <row r="106">
      <c r="A106" s="43" t="n"/>
      <c r="B106" s="44" t="n"/>
      <c r="C106" s="44" t="n"/>
      <c r="D106" s="44" t="n"/>
      <c r="E106" s="72" t="n"/>
      <c r="F106" s="44" t="n"/>
      <c r="G106" s="44" t="n"/>
      <c r="H106" s="44" t="n"/>
      <c r="I106" s="44" t="n"/>
      <c r="J106" s="9">
        <f>IF(A106="","",TEXT(A106,"MMMM YYYY"))</f>
        <v/>
      </c>
      <c r="K106" s="9">
        <f>IF(A106="","",WEEKNUM(A106))</f>
        <v/>
      </c>
      <c r="L106" s="9">
        <f>IF(A106="","",MONTH(A106))</f>
        <v/>
      </c>
      <c r="M106" s="9">
        <f>IF(A106="","",YEAR(A106))</f>
        <v/>
      </c>
    </row>
    <row r="107">
      <c r="A107" s="47" t="n"/>
      <c r="B107" s="48" t="n"/>
      <c r="C107" s="48" t="n"/>
      <c r="D107" s="48" t="n"/>
      <c r="E107" s="73" t="n"/>
      <c r="F107" s="48" t="n"/>
      <c r="G107" s="48" t="n"/>
      <c r="H107" s="48" t="n"/>
      <c r="I107" s="48" t="n"/>
      <c r="J107" s="12">
        <f>IF(A107="","",TEXT(A107,"MMMM YYYY"))</f>
        <v/>
      </c>
      <c r="K107" s="12">
        <f>IF(A107="","",WEEKNUM(A107))</f>
        <v/>
      </c>
      <c r="L107" s="12">
        <f>IF(A107="","",MONTH(A107))</f>
        <v/>
      </c>
      <c r="M107" s="12">
        <f>IF(A107="","",YEAR(A107))</f>
        <v/>
      </c>
    </row>
    <row r="108">
      <c r="A108" s="43" t="n"/>
      <c r="B108" s="44" t="n"/>
      <c r="C108" s="44" t="n"/>
      <c r="D108" s="44" t="n"/>
      <c r="E108" s="72" t="n"/>
      <c r="F108" s="44" t="n"/>
      <c r="G108" s="44" t="n"/>
      <c r="H108" s="44" t="n"/>
      <c r="I108" s="44" t="n"/>
      <c r="J108" s="9">
        <f>IF(A108="","",TEXT(A108,"MMMM YYYY"))</f>
        <v/>
      </c>
      <c r="K108" s="9">
        <f>IF(A108="","",WEEKNUM(A108))</f>
        <v/>
      </c>
      <c r="L108" s="9">
        <f>IF(A108="","",MONTH(A108))</f>
        <v/>
      </c>
      <c r="M108" s="9">
        <f>IF(A108="","",YEAR(A108))</f>
        <v/>
      </c>
    </row>
    <row r="109">
      <c r="A109" s="47" t="n"/>
      <c r="B109" s="48" t="n"/>
      <c r="C109" s="48" t="n"/>
      <c r="D109" s="48" t="n"/>
      <c r="E109" s="73" t="n"/>
      <c r="F109" s="48" t="n"/>
      <c r="G109" s="48" t="n"/>
      <c r="H109" s="48" t="n"/>
      <c r="I109" s="48" t="n"/>
      <c r="J109" s="12">
        <f>IF(A109="","",TEXT(A109,"MMMM YYYY"))</f>
        <v/>
      </c>
      <c r="K109" s="12">
        <f>IF(A109="","",WEEKNUM(A109))</f>
        <v/>
      </c>
      <c r="L109" s="12">
        <f>IF(A109="","",MONTH(A109))</f>
        <v/>
      </c>
      <c r="M109" s="12">
        <f>IF(A109="","",YEAR(A109))</f>
        <v/>
      </c>
    </row>
    <row r="110">
      <c r="A110" s="43" t="n"/>
      <c r="B110" s="44" t="n"/>
      <c r="C110" s="44" t="n"/>
      <c r="D110" s="44" t="n"/>
      <c r="E110" s="72" t="n"/>
      <c r="F110" s="44" t="n"/>
      <c r="G110" s="44" t="n"/>
      <c r="H110" s="44" t="n"/>
      <c r="I110" s="44" t="n"/>
      <c r="J110" s="9">
        <f>IF(A110="","",TEXT(A110,"MMMM YYYY"))</f>
        <v/>
      </c>
      <c r="K110" s="9">
        <f>IF(A110="","",WEEKNUM(A110))</f>
        <v/>
      </c>
      <c r="L110" s="9">
        <f>IF(A110="","",MONTH(A110))</f>
        <v/>
      </c>
      <c r="M110" s="9">
        <f>IF(A110="","",YEAR(A110))</f>
        <v/>
      </c>
    </row>
    <row r="111">
      <c r="A111" s="47" t="n"/>
      <c r="B111" s="48" t="n"/>
      <c r="C111" s="48" t="n"/>
      <c r="D111" s="48" t="n"/>
      <c r="E111" s="73" t="n"/>
      <c r="F111" s="48" t="n"/>
      <c r="G111" s="48" t="n"/>
      <c r="H111" s="48" t="n"/>
      <c r="I111" s="48" t="n"/>
      <c r="J111" s="12">
        <f>IF(A111="","",TEXT(A111,"MMMM YYYY"))</f>
        <v/>
      </c>
      <c r="K111" s="12">
        <f>IF(A111="","",WEEKNUM(A111))</f>
        <v/>
      </c>
      <c r="L111" s="12">
        <f>IF(A111="","",MONTH(A111))</f>
        <v/>
      </c>
      <c r="M111" s="12">
        <f>IF(A111="","",YEAR(A111))</f>
        <v/>
      </c>
    </row>
    <row r="112">
      <c r="A112" s="43" t="n"/>
      <c r="B112" s="44" t="n"/>
      <c r="C112" s="44" t="n"/>
      <c r="D112" s="44" t="n"/>
      <c r="E112" s="72" t="n"/>
      <c r="F112" s="44" t="n"/>
      <c r="G112" s="44" t="n"/>
      <c r="H112" s="44" t="n"/>
      <c r="I112" s="44" t="n"/>
      <c r="J112" s="9">
        <f>IF(A112="","",TEXT(A112,"MMMM YYYY"))</f>
        <v/>
      </c>
      <c r="K112" s="9">
        <f>IF(A112="","",WEEKNUM(A112))</f>
        <v/>
      </c>
      <c r="L112" s="9">
        <f>IF(A112="","",MONTH(A112))</f>
        <v/>
      </c>
      <c r="M112" s="9">
        <f>IF(A112="","",YEAR(A112))</f>
        <v/>
      </c>
    </row>
    <row r="113">
      <c r="A113" s="47" t="n"/>
      <c r="B113" s="48" t="n"/>
      <c r="C113" s="48" t="n"/>
      <c r="D113" s="48" t="n"/>
      <c r="E113" s="73" t="n"/>
      <c r="F113" s="48" t="n"/>
      <c r="G113" s="48" t="n"/>
      <c r="H113" s="48" t="n"/>
      <c r="I113" s="48" t="n"/>
      <c r="J113" s="12">
        <f>IF(A113="","",TEXT(A113,"MMMM YYYY"))</f>
        <v/>
      </c>
      <c r="K113" s="12">
        <f>IF(A113="","",WEEKNUM(A113))</f>
        <v/>
      </c>
      <c r="L113" s="12">
        <f>IF(A113="","",MONTH(A113))</f>
        <v/>
      </c>
      <c r="M113" s="12">
        <f>IF(A113="","",YEAR(A113))</f>
        <v/>
      </c>
    </row>
    <row r="114">
      <c r="A114" s="43" t="n"/>
      <c r="B114" s="44" t="n"/>
      <c r="C114" s="44" t="n"/>
      <c r="D114" s="44" t="n"/>
      <c r="E114" s="72" t="n"/>
      <c r="F114" s="44" t="n"/>
      <c r="G114" s="44" t="n"/>
      <c r="H114" s="44" t="n"/>
      <c r="I114" s="44" t="n"/>
      <c r="J114" s="9">
        <f>IF(A114="","",TEXT(A114,"MMMM YYYY"))</f>
        <v/>
      </c>
      <c r="K114" s="9">
        <f>IF(A114="","",WEEKNUM(A114))</f>
        <v/>
      </c>
      <c r="L114" s="9">
        <f>IF(A114="","",MONTH(A114))</f>
        <v/>
      </c>
      <c r="M114" s="9">
        <f>IF(A114="","",YEAR(A114))</f>
        <v/>
      </c>
    </row>
    <row r="115">
      <c r="A115" s="47" t="n"/>
      <c r="B115" s="48" t="n"/>
      <c r="C115" s="48" t="n"/>
      <c r="D115" s="48" t="n"/>
      <c r="E115" s="73" t="n"/>
      <c r="F115" s="48" t="n"/>
      <c r="G115" s="48" t="n"/>
      <c r="H115" s="48" t="n"/>
      <c r="I115" s="48" t="n"/>
      <c r="J115" s="12">
        <f>IF(A115="","",TEXT(A115,"MMMM YYYY"))</f>
        <v/>
      </c>
      <c r="K115" s="12">
        <f>IF(A115="","",WEEKNUM(A115))</f>
        <v/>
      </c>
      <c r="L115" s="12">
        <f>IF(A115="","",MONTH(A115))</f>
        <v/>
      </c>
      <c r="M115" s="12">
        <f>IF(A115="","",YEAR(A115))</f>
        <v/>
      </c>
    </row>
    <row r="116">
      <c r="A116" s="43" t="n"/>
      <c r="B116" s="44" t="n"/>
      <c r="C116" s="44" t="n"/>
      <c r="D116" s="44" t="n"/>
      <c r="E116" s="72" t="n"/>
      <c r="F116" s="44" t="n"/>
      <c r="G116" s="44" t="n"/>
      <c r="H116" s="44" t="n"/>
      <c r="I116" s="44" t="n"/>
      <c r="J116" s="9">
        <f>IF(A116="","",TEXT(A116,"MMMM YYYY"))</f>
        <v/>
      </c>
      <c r="K116" s="9">
        <f>IF(A116="","",WEEKNUM(A116))</f>
        <v/>
      </c>
      <c r="L116" s="9">
        <f>IF(A116="","",MONTH(A116))</f>
        <v/>
      </c>
      <c r="M116" s="9">
        <f>IF(A116="","",YEAR(A116))</f>
        <v/>
      </c>
    </row>
    <row r="117">
      <c r="A117" s="47" t="n"/>
      <c r="B117" s="48" t="n"/>
      <c r="C117" s="48" t="n"/>
      <c r="D117" s="48" t="n"/>
      <c r="E117" s="73" t="n"/>
      <c r="F117" s="48" t="n"/>
      <c r="G117" s="48" t="n"/>
      <c r="H117" s="48" t="n"/>
      <c r="I117" s="48" t="n"/>
      <c r="J117" s="12">
        <f>IF(A117="","",TEXT(A117,"MMMM YYYY"))</f>
        <v/>
      </c>
      <c r="K117" s="12">
        <f>IF(A117="","",WEEKNUM(A117))</f>
        <v/>
      </c>
      <c r="L117" s="12">
        <f>IF(A117="","",MONTH(A117))</f>
        <v/>
      </c>
      <c r="M117" s="12">
        <f>IF(A117="","",YEAR(A117))</f>
        <v/>
      </c>
    </row>
    <row r="118">
      <c r="A118" s="43" t="n"/>
      <c r="B118" s="44" t="n"/>
      <c r="C118" s="44" t="n"/>
      <c r="D118" s="44" t="n"/>
      <c r="E118" s="72" t="n"/>
      <c r="F118" s="44" t="n"/>
      <c r="G118" s="44" t="n"/>
      <c r="H118" s="44" t="n"/>
      <c r="I118" s="44" t="n"/>
      <c r="J118" s="9">
        <f>IF(A118="","",TEXT(A118,"MMMM YYYY"))</f>
        <v/>
      </c>
      <c r="K118" s="9">
        <f>IF(A118="","",WEEKNUM(A118))</f>
        <v/>
      </c>
      <c r="L118" s="9">
        <f>IF(A118="","",MONTH(A118))</f>
        <v/>
      </c>
      <c r="M118" s="9">
        <f>IF(A118="","",YEAR(A118))</f>
        <v/>
      </c>
    </row>
    <row r="119">
      <c r="A119" s="47" t="n"/>
      <c r="B119" s="48" t="n"/>
      <c r="C119" s="48" t="n"/>
      <c r="D119" s="48" t="n"/>
      <c r="E119" s="73" t="n"/>
      <c r="F119" s="48" t="n"/>
      <c r="G119" s="48" t="n"/>
      <c r="H119" s="48" t="n"/>
      <c r="I119" s="48" t="n"/>
      <c r="J119" s="12">
        <f>IF(A119="","",TEXT(A119,"MMMM YYYY"))</f>
        <v/>
      </c>
      <c r="K119" s="12">
        <f>IF(A119="","",WEEKNUM(A119))</f>
        <v/>
      </c>
      <c r="L119" s="12">
        <f>IF(A119="","",MONTH(A119))</f>
        <v/>
      </c>
      <c r="M119" s="12">
        <f>IF(A119="","",YEAR(A119))</f>
        <v/>
      </c>
    </row>
    <row r="120">
      <c r="A120" s="43" t="n"/>
      <c r="B120" s="44" t="n"/>
      <c r="C120" s="44" t="n"/>
      <c r="D120" s="44" t="n"/>
      <c r="E120" s="72" t="n"/>
      <c r="F120" s="44" t="n"/>
      <c r="G120" s="44" t="n"/>
      <c r="H120" s="44" t="n"/>
      <c r="I120" s="44" t="n"/>
      <c r="J120" s="9">
        <f>IF(A120="","",TEXT(A120,"MMMM YYYY"))</f>
        <v/>
      </c>
      <c r="K120" s="9">
        <f>IF(A120="","",WEEKNUM(A120))</f>
        <v/>
      </c>
      <c r="L120" s="9">
        <f>IF(A120="","",MONTH(A120))</f>
        <v/>
      </c>
      <c r="M120" s="9">
        <f>IF(A120="","",YEAR(A120))</f>
        <v/>
      </c>
    </row>
    <row r="121">
      <c r="A121" s="47" t="n"/>
      <c r="B121" s="48" t="n"/>
      <c r="C121" s="48" t="n"/>
      <c r="D121" s="48" t="n"/>
      <c r="E121" s="73" t="n"/>
      <c r="F121" s="48" t="n"/>
      <c r="G121" s="48" t="n"/>
      <c r="H121" s="48" t="n"/>
      <c r="I121" s="48" t="n"/>
      <c r="J121" s="12">
        <f>IF(A121="","",TEXT(A121,"MMMM YYYY"))</f>
        <v/>
      </c>
      <c r="K121" s="12">
        <f>IF(A121="","",WEEKNUM(A121))</f>
        <v/>
      </c>
      <c r="L121" s="12">
        <f>IF(A121="","",MONTH(A121))</f>
        <v/>
      </c>
      <c r="M121" s="12">
        <f>IF(A121="","",YEAR(A121))</f>
        <v/>
      </c>
    </row>
    <row r="122">
      <c r="A122" s="43" t="n"/>
      <c r="B122" s="44" t="n"/>
      <c r="C122" s="44" t="n"/>
      <c r="D122" s="44" t="n"/>
      <c r="E122" s="72" t="n"/>
      <c r="F122" s="44" t="n"/>
      <c r="G122" s="44" t="n"/>
      <c r="H122" s="44" t="n"/>
      <c r="I122" s="44" t="n"/>
      <c r="J122" s="9">
        <f>IF(A122="","",TEXT(A122,"MMMM YYYY"))</f>
        <v/>
      </c>
      <c r="K122" s="9">
        <f>IF(A122="","",WEEKNUM(A122))</f>
        <v/>
      </c>
      <c r="L122" s="9">
        <f>IF(A122="","",MONTH(A122))</f>
        <v/>
      </c>
      <c r="M122" s="9">
        <f>IF(A122="","",YEAR(A122))</f>
        <v/>
      </c>
    </row>
    <row r="123">
      <c r="A123" s="47" t="n"/>
      <c r="B123" s="48" t="n"/>
      <c r="C123" s="48" t="n"/>
      <c r="D123" s="48" t="n"/>
      <c r="E123" s="73" t="n"/>
      <c r="F123" s="48" t="n"/>
      <c r="G123" s="48" t="n"/>
      <c r="H123" s="48" t="n"/>
      <c r="I123" s="48" t="n"/>
      <c r="J123" s="12">
        <f>IF(A123="","",TEXT(A123,"MMMM YYYY"))</f>
        <v/>
      </c>
      <c r="K123" s="12">
        <f>IF(A123="","",WEEKNUM(A123))</f>
        <v/>
      </c>
      <c r="L123" s="12">
        <f>IF(A123="","",MONTH(A123))</f>
        <v/>
      </c>
      <c r="M123" s="12">
        <f>IF(A123="","",YEAR(A123))</f>
        <v/>
      </c>
    </row>
    <row r="124">
      <c r="A124" s="43" t="n"/>
      <c r="B124" s="44" t="n"/>
      <c r="C124" s="44" t="n"/>
      <c r="D124" s="44" t="n"/>
      <c r="E124" s="72" t="n"/>
      <c r="F124" s="44" t="n"/>
      <c r="G124" s="44" t="n"/>
      <c r="H124" s="44" t="n"/>
      <c r="I124" s="44" t="n"/>
      <c r="J124" s="9">
        <f>IF(A124="","",TEXT(A124,"MMMM YYYY"))</f>
        <v/>
      </c>
      <c r="K124" s="9">
        <f>IF(A124="","",WEEKNUM(A124))</f>
        <v/>
      </c>
      <c r="L124" s="9">
        <f>IF(A124="","",MONTH(A124))</f>
        <v/>
      </c>
      <c r="M124" s="9">
        <f>IF(A124="","",YEAR(A124))</f>
        <v/>
      </c>
    </row>
    <row r="125">
      <c r="A125" s="47" t="n"/>
      <c r="B125" s="48" t="n"/>
      <c r="C125" s="48" t="n"/>
      <c r="D125" s="48" t="n"/>
      <c r="E125" s="73" t="n"/>
      <c r="F125" s="48" t="n"/>
      <c r="G125" s="48" t="n"/>
      <c r="H125" s="48" t="n"/>
      <c r="I125" s="48" t="n"/>
      <c r="J125" s="12">
        <f>IF(A125="","",TEXT(A125,"MMMM YYYY"))</f>
        <v/>
      </c>
      <c r="K125" s="12">
        <f>IF(A125="","",WEEKNUM(A125))</f>
        <v/>
      </c>
      <c r="L125" s="12">
        <f>IF(A125="","",MONTH(A125))</f>
        <v/>
      </c>
      <c r="M125" s="12">
        <f>IF(A125="","",YEAR(A125))</f>
        <v/>
      </c>
    </row>
    <row r="126">
      <c r="A126" s="43" t="n"/>
      <c r="B126" s="44" t="n"/>
      <c r="C126" s="44" t="n"/>
      <c r="D126" s="44" t="n"/>
      <c r="E126" s="72" t="n"/>
      <c r="F126" s="44" t="n"/>
      <c r="G126" s="44" t="n"/>
      <c r="H126" s="44" t="n"/>
      <c r="I126" s="44" t="n"/>
      <c r="J126" s="9">
        <f>IF(A126="","",TEXT(A126,"MMMM YYYY"))</f>
        <v/>
      </c>
      <c r="K126" s="9">
        <f>IF(A126="","",WEEKNUM(A126))</f>
        <v/>
      </c>
      <c r="L126" s="9">
        <f>IF(A126="","",MONTH(A126))</f>
        <v/>
      </c>
      <c r="M126" s="9">
        <f>IF(A126="","",YEAR(A126))</f>
        <v/>
      </c>
    </row>
    <row r="127">
      <c r="A127" s="47" t="n"/>
      <c r="B127" s="48" t="n"/>
      <c r="C127" s="48" t="n"/>
      <c r="D127" s="48" t="n"/>
      <c r="E127" s="73" t="n"/>
      <c r="F127" s="48" t="n"/>
      <c r="G127" s="48" t="n"/>
      <c r="H127" s="48" t="n"/>
      <c r="I127" s="48" t="n"/>
      <c r="J127" s="12">
        <f>IF(A127="","",TEXT(A127,"MMMM YYYY"))</f>
        <v/>
      </c>
      <c r="K127" s="12">
        <f>IF(A127="","",WEEKNUM(A127))</f>
        <v/>
      </c>
      <c r="L127" s="12">
        <f>IF(A127="","",MONTH(A127))</f>
        <v/>
      </c>
      <c r="M127" s="12">
        <f>IF(A127="","",YEAR(A127))</f>
        <v/>
      </c>
    </row>
    <row r="128">
      <c r="A128" s="43" t="n"/>
      <c r="B128" s="44" t="n"/>
      <c r="C128" s="44" t="n"/>
      <c r="D128" s="44" t="n"/>
      <c r="E128" s="72" t="n"/>
      <c r="F128" s="44" t="n"/>
      <c r="G128" s="44" t="n"/>
      <c r="H128" s="44" t="n"/>
      <c r="I128" s="44" t="n"/>
      <c r="J128" s="9">
        <f>IF(A128="","",TEXT(A128,"MMMM YYYY"))</f>
        <v/>
      </c>
      <c r="K128" s="9">
        <f>IF(A128="","",WEEKNUM(A128))</f>
        <v/>
      </c>
      <c r="L128" s="9">
        <f>IF(A128="","",MONTH(A128))</f>
        <v/>
      </c>
      <c r="M128" s="9">
        <f>IF(A128="","",YEAR(A128))</f>
        <v/>
      </c>
    </row>
    <row r="129">
      <c r="A129" s="47" t="n"/>
      <c r="B129" s="48" t="n"/>
      <c r="C129" s="48" t="n"/>
      <c r="D129" s="48" t="n"/>
      <c r="E129" s="73" t="n"/>
      <c r="F129" s="48" t="n"/>
      <c r="G129" s="48" t="n"/>
      <c r="H129" s="48" t="n"/>
      <c r="I129" s="48" t="n"/>
      <c r="J129" s="12">
        <f>IF(A129="","",TEXT(A129,"MMMM YYYY"))</f>
        <v/>
      </c>
      <c r="K129" s="12">
        <f>IF(A129="","",WEEKNUM(A129))</f>
        <v/>
      </c>
      <c r="L129" s="12">
        <f>IF(A129="","",MONTH(A129))</f>
        <v/>
      </c>
      <c r="M129" s="12">
        <f>IF(A129="","",YEAR(A129))</f>
        <v/>
      </c>
    </row>
    <row r="130">
      <c r="A130" s="43" t="n"/>
      <c r="B130" s="44" t="n"/>
      <c r="C130" s="44" t="n"/>
      <c r="D130" s="44" t="n"/>
      <c r="E130" s="72" t="n"/>
      <c r="F130" s="44" t="n"/>
      <c r="G130" s="44" t="n"/>
      <c r="H130" s="44" t="n"/>
      <c r="I130" s="44" t="n"/>
      <c r="J130" s="9">
        <f>IF(A130="","",TEXT(A130,"MMMM YYYY"))</f>
        <v/>
      </c>
      <c r="K130" s="9">
        <f>IF(A130="","",WEEKNUM(A130))</f>
        <v/>
      </c>
      <c r="L130" s="9">
        <f>IF(A130="","",MONTH(A130))</f>
        <v/>
      </c>
      <c r="M130" s="9">
        <f>IF(A130="","",YEAR(A130))</f>
        <v/>
      </c>
    </row>
    <row r="131">
      <c r="A131" s="47" t="n"/>
      <c r="B131" s="48" t="n"/>
      <c r="C131" s="48" t="n"/>
      <c r="D131" s="48" t="n"/>
      <c r="E131" s="73" t="n"/>
      <c r="F131" s="48" t="n"/>
      <c r="G131" s="48" t="n"/>
      <c r="H131" s="48" t="n"/>
      <c r="I131" s="48" t="n"/>
      <c r="J131" s="12">
        <f>IF(A131="","",TEXT(A131,"MMMM YYYY"))</f>
        <v/>
      </c>
      <c r="K131" s="12">
        <f>IF(A131="","",WEEKNUM(A131))</f>
        <v/>
      </c>
      <c r="L131" s="12">
        <f>IF(A131="","",MONTH(A131))</f>
        <v/>
      </c>
      <c r="M131" s="12">
        <f>IF(A131="","",YEAR(A131))</f>
        <v/>
      </c>
    </row>
    <row r="132">
      <c r="A132" s="43" t="n"/>
      <c r="B132" s="44" t="n"/>
      <c r="C132" s="44" t="n"/>
      <c r="D132" s="44" t="n"/>
      <c r="E132" s="72" t="n"/>
      <c r="F132" s="44" t="n"/>
      <c r="G132" s="44" t="n"/>
      <c r="H132" s="44" t="n"/>
      <c r="I132" s="44" t="n"/>
      <c r="J132" s="9">
        <f>IF(A132="","",TEXT(A132,"MMMM YYYY"))</f>
        <v/>
      </c>
      <c r="K132" s="9">
        <f>IF(A132="","",WEEKNUM(A132))</f>
        <v/>
      </c>
      <c r="L132" s="9">
        <f>IF(A132="","",MONTH(A132))</f>
        <v/>
      </c>
      <c r="M132" s="9">
        <f>IF(A132="","",YEAR(A132))</f>
        <v/>
      </c>
    </row>
    <row r="133">
      <c r="A133" s="47" t="n"/>
      <c r="B133" s="48" t="n"/>
      <c r="C133" s="48" t="n"/>
      <c r="D133" s="48" t="n"/>
      <c r="E133" s="73" t="n"/>
      <c r="F133" s="48" t="n"/>
      <c r="G133" s="48" t="n"/>
      <c r="H133" s="48" t="n"/>
      <c r="I133" s="48" t="n"/>
      <c r="J133" s="12">
        <f>IF(A133="","",TEXT(A133,"MMMM YYYY"))</f>
        <v/>
      </c>
      <c r="K133" s="12">
        <f>IF(A133="","",WEEKNUM(A133))</f>
        <v/>
      </c>
      <c r="L133" s="12">
        <f>IF(A133="","",MONTH(A133))</f>
        <v/>
      </c>
      <c r="M133" s="12">
        <f>IF(A133="","",YEAR(A133))</f>
        <v/>
      </c>
    </row>
    <row r="134">
      <c r="A134" s="43" t="n"/>
      <c r="B134" s="44" t="n"/>
      <c r="C134" s="44" t="n"/>
      <c r="D134" s="44" t="n"/>
      <c r="E134" s="72" t="n"/>
      <c r="F134" s="44" t="n"/>
      <c r="G134" s="44" t="n"/>
      <c r="H134" s="44" t="n"/>
      <c r="I134" s="44" t="n"/>
      <c r="J134" s="9">
        <f>IF(A134="","",TEXT(A134,"MMMM YYYY"))</f>
        <v/>
      </c>
      <c r="K134" s="9">
        <f>IF(A134="","",WEEKNUM(A134))</f>
        <v/>
      </c>
      <c r="L134" s="9">
        <f>IF(A134="","",MONTH(A134))</f>
        <v/>
      </c>
      <c r="M134" s="9">
        <f>IF(A134="","",YEAR(A134))</f>
        <v/>
      </c>
    </row>
    <row r="135">
      <c r="A135" s="47" t="n"/>
      <c r="B135" s="48" t="n"/>
      <c r="C135" s="48" t="n"/>
      <c r="D135" s="48" t="n"/>
      <c r="E135" s="73" t="n"/>
      <c r="F135" s="48" t="n"/>
      <c r="G135" s="48" t="n"/>
      <c r="H135" s="48" t="n"/>
      <c r="I135" s="48" t="n"/>
      <c r="J135" s="12">
        <f>IF(A135="","",TEXT(A135,"MMMM YYYY"))</f>
        <v/>
      </c>
      <c r="K135" s="12">
        <f>IF(A135="","",WEEKNUM(A135))</f>
        <v/>
      </c>
      <c r="L135" s="12">
        <f>IF(A135="","",MONTH(A135))</f>
        <v/>
      </c>
      <c r="M135" s="12">
        <f>IF(A135="","",YEAR(A135))</f>
        <v/>
      </c>
    </row>
    <row r="136">
      <c r="A136" s="43" t="n"/>
      <c r="B136" s="44" t="n"/>
      <c r="C136" s="44" t="n"/>
      <c r="D136" s="44" t="n"/>
      <c r="E136" s="72" t="n"/>
      <c r="F136" s="44" t="n"/>
      <c r="G136" s="44" t="n"/>
      <c r="H136" s="44" t="n"/>
      <c r="I136" s="44" t="n"/>
      <c r="J136" s="9">
        <f>IF(A136="","",TEXT(A136,"MMMM YYYY"))</f>
        <v/>
      </c>
      <c r="K136" s="9">
        <f>IF(A136="","",WEEKNUM(A136))</f>
        <v/>
      </c>
      <c r="L136" s="9">
        <f>IF(A136="","",MONTH(A136))</f>
        <v/>
      </c>
      <c r="M136" s="9">
        <f>IF(A136="","",YEAR(A136))</f>
        <v/>
      </c>
    </row>
    <row r="137">
      <c r="A137" s="47" t="n"/>
      <c r="B137" s="48" t="n"/>
      <c r="C137" s="48" t="n"/>
      <c r="D137" s="48" t="n"/>
      <c r="E137" s="73" t="n"/>
      <c r="F137" s="48" t="n"/>
      <c r="G137" s="48" t="n"/>
      <c r="H137" s="48" t="n"/>
      <c r="I137" s="48" t="n"/>
      <c r="J137" s="12">
        <f>IF(A137="","",TEXT(A137,"MMMM YYYY"))</f>
        <v/>
      </c>
      <c r="K137" s="12">
        <f>IF(A137="","",WEEKNUM(A137))</f>
        <v/>
      </c>
      <c r="L137" s="12">
        <f>IF(A137="","",MONTH(A137))</f>
        <v/>
      </c>
      <c r="M137" s="12">
        <f>IF(A137="","",YEAR(A137))</f>
        <v/>
      </c>
    </row>
    <row r="138">
      <c r="A138" s="43" t="n"/>
      <c r="B138" s="44" t="n"/>
      <c r="C138" s="44" t="n"/>
      <c r="D138" s="44" t="n"/>
      <c r="E138" s="72" t="n"/>
      <c r="F138" s="44" t="n"/>
      <c r="G138" s="44" t="n"/>
      <c r="H138" s="44" t="n"/>
      <c r="I138" s="44" t="n"/>
      <c r="J138" s="9">
        <f>IF(A138="","",TEXT(A138,"MMMM YYYY"))</f>
        <v/>
      </c>
      <c r="K138" s="9">
        <f>IF(A138="","",WEEKNUM(A138))</f>
        <v/>
      </c>
      <c r="L138" s="9">
        <f>IF(A138="","",MONTH(A138))</f>
        <v/>
      </c>
      <c r="M138" s="9">
        <f>IF(A138="","",YEAR(A138))</f>
        <v/>
      </c>
    </row>
    <row r="139">
      <c r="A139" s="47" t="n"/>
      <c r="B139" s="48" t="n"/>
      <c r="C139" s="48" t="n"/>
      <c r="D139" s="48" t="n"/>
      <c r="E139" s="73" t="n"/>
      <c r="F139" s="48" t="n"/>
      <c r="G139" s="48" t="n"/>
      <c r="H139" s="48" t="n"/>
      <c r="I139" s="48" t="n"/>
      <c r="J139" s="12">
        <f>IF(A139="","",TEXT(A139,"MMMM YYYY"))</f>
        <v/>
      </c>
      <c r="K139" s="12">
        <f>IF(A139="","",WEEKNUM(A139))</f>
        <v/>
      </c>
      <c r="L139" s="12">
        <f>IF(A139="","",MONTH(A139))</f>
        <v/>
      </c>
      <c r="M139" s="12">
        <f>IF(A139="","",YEAR(A139))</f>
        <v/>
      </c>
    </row>
    <row r="140">
      <c r="A140" s="43" t="n"/>
      <c r="B140" s="44" t="n"/>
      <c r="C140" s="44" t="n"/>
      <c r="D140" s="44" t="n"/>
      <c r="E140" s="72" t="n"/>
      <c r="F140" s="44" t="n"/>
      <c r="G140" s="44" t="n"/>
      <c r="H140" s="44" t="n"/>
      <c r="I140" s="44" t="n"/>
      <c r="J140" s="9">
        <f>IF(A140="","",TEXT(A140,"MMMM YYYY"))</f>
        <v/>
      </c>
      <c r="K140" s="9">
        <f>IF(A140="","",WEEKNUM(A140))</f>
        <v/>
      </c>
      <c r="L140" s="9">
        <f>IF(A140="","",MONTH(A140))</f>
        <v/>
      </c>
      <c r="M140" s="9">
        <f>IF(A140="","",YEAR(A140))</f>
        <v/>
      </c>
    </row>
    <row r="141">
      <c r="A141" s="47" t="n"/>
      <c r="B141" s="48" t="n"/>
      <c r="C141" s="48" t="n"/>
      <c r="D141" s="48" t="n"/>
      <c r="E141" s="73" t="n"/>
      <c r="F141" s="48" t="n"/>
      <c r="G141" s="48" t="n"/>
      <c r="H141" s="48" t="n"/>
      <c r="I141" s="48" t="n"/>
      <c r="J141" s="12">
        <f>IF(A141="","",TEXT(A141,"MMMM YYYY"))</f>
        <v/>
      </c>
      <c r="K141" s="12">
        <f>IF(A141="","",WEEKNUM(A141))</f>
        <v/>
      </c>
      <c r="L141" s="12">
        <f>IF(A141="","",MONTH(A141))</f>
        <v/>
      </c>
      <c r="M141" s="12">
        <f>IF(A141="","",YEAR(A141))</f>
        <v/>
      </c>
    </row>
    <row r="142">
      <c r="A142" s="43" t="n"/>
      <c r="B142" s="44" t="n"/>
      <c r="C142" s="44" t="n"/>
      <c r="D142" s="44" t="n"/>
      <c r="E142" s="72" t="n"/>
      <c r="F142" s="44" t="n"/>
      <c r="G142" s="44" t="n"/>
      <c r="H142" s="44" t="n"/>
      <c r="I142" s="44" t="n"/>
      <c r="J142" s="9">
        <f>IF(A142="","",TEXT(A142,"MMMM YYYY"))</f>
        <v/>
      </c>
      <c r="K142" s="9">
        <f>IF(A142="","",WEEKNUM(A142))</f>
        <v/>
      </c>
      <c r="L142" s="9">
        <f>IF(A142="","",MONTH(A142))</f>
        <v/>
      </c>
      <c r="M142" s="9">
        <f>IF(A142="","",YEAR(A142))</f>
        <v/>
      </c>
    </row>
    <row r="143">
      <c r="A143" s="47" t="n"/>
      <c r="B143" s="48" t="n"/>
      <c r="C143" s="48" t="n"/>
      <c r="D143" s="48" t="n"/>
      <c r="E143" s="73" t="n"/>
      <c r="F143" s="48" t="n"/>
      <c r="G143" s="48" t="n"/>
      <c r="H143" s="48" t="n"/>
      <c r="I143" s="48" t="n"/>
      <c r="J143" s="12">
        <f>IF(A143="","",TEXT(A143,"MMMM YYYY"))</f>
        <v/>
      </c>
      <c r="K143" s="12">
        <f>IF(A143="","",WEEKNUM(A143))</f>
        <v/>
      </c>
      <c r="L143" s="12">
        <f>IF(A143="","",MONTH(A143))</f>
        <v/>
      </c>
      <c r="M143" s="12">
        <f>IF(A143="","",YEAR(A143))</f>
        <v/>
      </c>
    </row>
    <row r="144">
      <c r="A144" s="43" t="n"/>
      <c r="B144" s="44" t="n"/>
      <c r="C144" s="44" t="n"/>
      <c r="D144" s="44" t="n"/>
      <c r="E144" s="72" t="n"/>
      <c r="F144" s="44" t="n"/>
      <c r="G144" s="44" t="n"/>
      <c r="H144" s="44" t="n"/>
      <c r="I144" s="44" t="n"/>
      <c r="J144" s="9">
        <f>IF(A144="","",TEXT(A144,"MMMM YYYY"))</f>
        <v/>
      </c>
      <c r="K144" s="9">
        <f>IF(A144="","",WEEKNUM(A144))</f>
        <v/>
      </c>
      <c r="L144" s="9">
        <f>IF(A144="","",MONTH(A144))</f>
        <v/>
      </c>
      <c r="M144" s="9">
        <f>IF(A144="","",YEAR(A144))</f>
        <v/>
      </c>
    </row>
    <row r="145">
      <c r="A145" s="47" t="n"/>
      <c r="B145" s="48" t="n"/>
      <c r="C145" s="48" t="n"/>
      <c r="D145" s="48" t="n"/>
      <c r="E145" s="73" t="n"/>
      <c r="F145" s="48" t="n"/>
      <c r="G145" s="48" t="n"/>
      <c r="H145" s="48" t="n"/>
      <c r="I145" s="48" t="n"/>
      <c r="J145" s="12">
        <f>IF(A145="","",TEXT(A145,"MMMM YYYY"))</f>
        <v/>
      </c>
      <c r="K145" s="12">
        <f>IF(A145="","",WEEKNUM(A145))</f>
        <v/>
      </c>
      <c r="L145" s="12">
        <f>IF(A145="","",MONTH(A145))</f>
        <v/>
      </c>
      <c r="M145" s="12">
        <f>IF(A145="","",YEAR(A145))</f>
        <v/>
      </c>
    </row>
    <row r="146">
      <c r="A146" s="43" t="n"/>
      <c r="B146" s="44" t="n"/>
      <c r="C146" s="44" t="n"/>
      <c r="D146" s="44" t="n"/>
      <c r="E146" s="72" t="n"/>
      <c r="F146" s="44" t="n"/>
      <c r="G146" s="44" t="n"/>
      <c r="H146" s="44" t="n"/>
      <c r="I146" s="44" t="n"/>
      <c r="J146" s="9">
        <f>IF(A146="","",TEXT(A146,"MMMM YYYY"))</f>
        <v/>
      </c>
      <c r="K146" s="9">
        <f>IF(A146="","",WEEKNUM(A146))</f>
        <v/>
      </c>
      <c r="L146" s="9">
        <f>IF(A146="","",MONTH(A146))</f>
        <v/>
      </c>
      <c r="M146" s="9">
        <f>IF(A146="","",YEAR(A146))</f>
        <v/>
      </c>
    </row>
    <row r="147">
      <c r="A147" s="47" t="n"/>
      <c r="B147" s="48" t="n"/>
      <c r="C147" s="48" t="n"/>
      <c r="D147" s="48" t="n"/>
      <c r="E147" s="73" t="n"/>
      <c r="F147" s="48" t="n"/>
      <c r="G147" s="48" t="n"/>
      <c r="H147" s="48" t="n"/>
      <c r="I147" s="48" t="n"/>
      <c r="J147" s="12">
        <f>IF(A147="","",TEXT(A147,"MMMM YYYY"))</f>
        <v/>
      </c>
      <c r="K147" s="12">
        <f>IF(A147="","",WEEKNUM(A147))</f>
        <v/>
      </c>
      <c r="L147" s="12">
        <f>IF(A147="","",MONTH(A147))</f>
        <v/>
      </c>
      <c r="M147" s="12">
        <f>IF(A147="","",YEAR(A147))</f>
        <v/>
      </c>
    </row>
    <row r="148">
      <c r="A148" s="43" t="n"/>
      <c r="B148" s="44" t="n"/>
      <c r="C148" s="44" t="n"/>
      <c r="D148" s="44" t="n"/>
      <c r="E148" s="72" t="n"/>
      <c r="F148" s="44" t="n"/>
      <c r="G148" s="44" t="n"/>
      <c r="H148" s="44" t="n"/>
      <c r="I148" s="44" t="n"/>
      <c r="J148" s="9">
        <f>IF(A148="","",TEXT(A148,"MMMM YYYY"))</f>
        <v/>
      </c>
      <c r="K148" s="9">
        <f>IF(A148="","",WEEKNUM(A148))</f>
        <v/>
      </c>
      <c r="L148" s="9">
        <f>IF(A148="","",MONTH(A148))</f>
        <v/>
      </c>
      <c r="M148" s="9">
        <f>IF(A148="","",YEAR(A148))</f>
        <v/>
      </c>
    </row>
    <row r="149">
      <c r="A149" s="47" t="n"/>
      <c r="B149" s="48" t="n"/>
      <c r="C149" s="48" t="n"/>
      <c r="D149" s="48" t="n"/>
      <c r="E149" s="73" t="n"/>
      <c r="F149" s="48" t="n"/>
      <c r="G149" s="48" t="n"/>
      <c r="H149" s="48" t="n"/>
      <c r="I149" s="48" t="n"/>
      <c r="J149" s="12">
        <f>IF(A149="","",TEXT(A149,"MMMM YYYY"))</f>
        <v/>
      </c>
      <c r="K149" s="12">
        <f>IF(A149="","",WEEKNUM(A149))</f>
        <v/>
      </c>
      <c r="L149" s="12">
        <f>IF(A149="","",MONTH(A149))</f>
        <v/>
      </c>
      <c r="M149" s="12">
        <f>IF(A149="","",YEAR(A149))</f>
        <v/>
      </c>
    </row>
    <row r="150">
      <c r="A150" s="43" t="n"/>
      <c r="B150" s="44" t="n"/>
      <c r="C150" s="44" t="n"/>
      <c r="D150" s="44" t="n"/>
      <c r="E150" s="72" t="n"/>
      <c r="F150" s="44" t="n"/>
      <c r="G150" s="44" t="n"/>
      <c r="H150" s="44" t="n"/>
      <c r="I150" s="44" t="n"/>
      <c r="J150" s="9">
        <f>IF(A150="","",TEXT(A150,"MMMM YYYY"))</f>
        <v/>
      </c>
      <c r="K150" s="9">
        <f>IF(A150="","",WEEKNUM(A150))</f>
        <v/>
      </c>
      <c r="L150" s="9">
        <f>IF(A150="","",MONTH(A150))</f>
        <v/>
      </c>
      <c r="M150" s="9">
        <f>IF(A150="","",YEAR(A150))</f>
        <v/>
      </c>
    </row>
    <row r="151">
      <c r="A151" s="47" t="n"/>
      <c r="B151" s="48" t="n"/>
      <c r="C151" s="48" t="n"/>
      <c r="D151" s="48" t="n"/>
      <c r="E151" s="73" t="n"/>
      <c r="F151" s="48" t="n"/>
      <c r="G151" s="48" t="n"/>
      <c r="H151" s="48" t="n"/>
      <c r="I151" s="48" t="n"/>
      <c r="J151" s="12">
        <f>IF(A151="","",TEXT(A151,"MMMM YYYY"))</f>
        <v/>
      </c>
      <c r="K151" s="12">
        <f>IF(A151="","",WEEKNUM(A151))</f>
        <v/>
      </c>
      <c r="L151" s="12">
        <f>IF(A151="","",MONTH(A151))</f>
        <v/>
      </c>
      <c r="M151" s="12">
        <f>IF(A151="","",YEAR(A151))</f>
        <v/>
      </c>
    </row>
    <row r="152">
      <c r="A152" s="43" t="n"/>
      <c r="B152" s="44" t="n"/>
      <c r="C152" s="44" t="n"/>
      <c r="D152" s="44" t="n"/>
      <c r="E152" s="72" t="n"/>
      <c r="F152" s="44" t="n"/>
      <c r="G152" s="44" t="n"/>
      <c r="H152" s="44" t="n"/>
      <c r="I152" s="44" t="n"/>
      <c r="J152" s="9">
        <f>IF(A152="","",TEXT(A152,"MMMM YYYY"))</f>
        <v/>
      </c>
      <c r="K152" s="9">
        <f>IF(A152="","",WEEKNUM(A152))</f>
        <v/>
      </c>
      <c r="L152" s="9">
        <f>IF(A152="","",MONTH(A152))</f>
        <v/>
      </c>
      <c r="M152" s="9">
        <f>IF(A152="","",YEAR(A152))</f>
        <v/>
      </c>
    </row>
    <row r="153">
      <c r="A153" s="47" t="n"/>
      <c r="B153" s="48" t="n"/>
      <c r="C153" s="48" t="n"/>
      <c r="D153" s="48" t="n"/>
      <c r="E153" s="73" t="n"/>
      <c r="F153" s="48" t="n"/>
      <c r="G153" s="48" t="n"/>
      <c r="H153" s="48" t="n"/>
      <c r="I153" s="48" t="n"/>
      <c r="J153" s="12">
        <f>IF(A153="","",TEXT(A153,"MMMM YYYY"))</f>
        <v/>
      </c>
      <c r="K153" s="12">
        <f>IF(A153="","",WEEKNUM(A153))</f>
        <v/>
      </c>
      <c r="L153" s="12">
        <f>IF(A153="","",MONTH(A153))</f>
        <v/>
      </c>
      <c r="M153" s="12">
        <f>IF(A153="","",YEAR(A153))</f>
        <v/>
      </c>
    </row>
    <row r="154">
      <c r="A154" s="43" t="n"/>
      <c r="B154" s="44" t="n"/>
      <c r="C154" s="44" t="n"/>
      <c r="D154" s="44" t="n"/>
      <c r="E154" s="72" t="n"/>
      <c r="F154" s="44" t="n"/>
      <c r="G154" s="44" t="n"/>
      <c r="H154" s="44" t="n"/>
      <c r="I154" s="44" t="n"/>
      <c r="J154" s="9">
        <f>IF(A154="","",TEXT(A154,"MMMM YYYY"))</f>
        <v/>
      </c>
      <c r="K154" s="9">
        <f>IF(A154="","",WEEKNUM(A154))</f>
        <v/>
      </c>
      <c r="L154" s="9">
        <f>IF(A154="","",MONTH(A154))</f>
        <v/>
      </c>
      <c r="M154" s="9">
        <f>IF(A154="","",YEAR(A154))</f>
        <v/>
      </c>
    </row>
    <row r="155">
      <c r="A155" s="47" t="n"/>
      <c r="B155" s="48" t="n"/>
      <c r="C155" s="48" t="n"/>
      <c r="D155" s="48" t="n"/>
      <c r="E155" s="73" t="n"/>
      <c r="F155" s="48" t="n"/>
      <c r="G155" s="48" t="n"/>
      <c r="H155" s="48" t="n"/>
      <c r="I155" s="48" t="n"/>
      <c r="J155" s="12">
        <f>IF(A155="","",TEXT(A155,"MMMM YYYY"))</f>
        <v/>
      </c>
      <c r="K155" s="12">
        <f>IF(A155="","",WEEKNUM(A155))</f>
        <v/>
      </c>
      <c r="L155" s="12">
        <f>IF(A155="","",MONTH(A155))</f>
        <v/>
      </c>
      <c r="M155" s="12">
        <f>IF(A155="","",YEAR(A155))</f>
        <v/>
      </c>
    </row>
    <row r="156">
      <c r="A156" s="43" t="n"/>
      <c r="B156" s="44" t="n"/>
      <c r="C156" s="44" t="n"/>
      <c r="D156" s="44" t="n"/>
      <c r="E156" s="72" t="n"/>
      <c r="F156" s="44" t="n"/>
      <c r="G156" s="44" t="n"/>
      <c r="H156" s="44" t="n"/>
      <c r="I156" s="44" t="n"/>
      <c r="J156" s="9">
        <f>IF(A156="","",TEXT(A156,"MMMM YYYY"))</f>
        <v/>
      </c>
      <c r="K156" s="9">
        <f>IF(A156="","",WEEKNUM(A156))</f>
        <v/>
      </c>
      <c r="L156" s="9">
        <f>IF(A156="","",MONTH(A156))</f>
        <v/>
      </c>
      <c r="M156" s="9">
        <f>IF(A156="","",YEAR(A156))</f>
        <v/>
      </c>
    </row>
    <row r="157">
      <c r="A157" s="47" t="n"/>
      <c r="B157" s="48" t="n"/>
      <c r="C157" s="48" t="n"/>
      <c r="D157" s="48" t="n"/>
      <c r="E157" s="73" t="n"/>
      <c r="F157" s="48" t="n"/>
      <c r="G157" s="48" t="n"/>
      <c r="H157" s="48" t="n"/>
      <c r="I157" s="48" t="n"/>
      <c r="J157" s="12">
        <f>IF(A157="","",TEXT(A157,"MMMM YYYY"))</f>
        <v/>
      </c>
      <c r="K157" s="12">
        <f>IF(A157="","",WEEKNUM(A157))</f>
        <v/>
      </c>
      <c r="L157" s="12">
        <f>IF(A157="","",MONTH(A157))</f>
        <v/>
      </c>
      <c r="M157" s="12">
        <f>IF(A157="","",YEAR(A157))</f>
        <v/>
      </c>
    </row>
    <row r="158">
      <c r="A158" s="43" t="n"/>
      <c r="B158" s="44" t="n"/>
      <c r="C158" s="44" t="n"/>
      <c r="D158" s="44" t="n"/>
      <c r="E158" s="72" t="n"/>
      <c r="F158" s="44" t="n"/>
      <c r="G158" s="44" t="n"/>
      <c r="H158" s="44" t="n"/>
      <c r="I158" s="44" t="n"/>
      <c r="J158" s="9">
        <f>IF(A158="","",TEXT(A158,"MMMM YYYY"))</f>
        <v/>
      </c>
      <c r="K158" s="9">
        <f>IF(A158="","",WEEKNUM(A158))</f>
        <v/>
      </c>
      <c r="L158" s="9">
        <f>IF(A158="","",MONTH(A158))</f>
        <v/>
      </c>
      <c r="M158" s="9">
        <f>IF(A158="","",YEAR(A158))</f>
        <v/>
      </c>
    </row>
    <row r="159">
      <c r="A159" s="47" t="n"/>
      <c r="B159" s="48" t="n"/>
      <c r="C159" s="48" t="n"/>
      <c r="D159" s="48" t="n"/>
      <c r="E159" s="73" t="n"/>
      <c r="F159" s="48" t="n"/>
      <c r="G159" s="48" t="n"/>
      <c r="H159" s="48" t="n"/>
      <c r="I159" s="48" t="n"/>
      <c r="J159" s="12">
        <f>IF(A159="","",TEXT(A159,"MMMM YYYY"))</f>
        <v/>
      </c>
      <c r="K159" s="12">
        <f>IF(A159="","",WEEKNUM(A159))</f>
        <v/>
      </c>
      <c r="L159" s="12">
        <f>IF(A159="","",MONTH(A159))</f>
        <v/>
      </c>
      <c r="M159" s="12">
        <f>IF(A159="","",YEAR(A159))</f>
        <v/>
      </c>
    </row>
    <row r="160">
      <c r="A160" s="43" t="n"/>
      <c r="B160" s="44" t="n"/>
      <c r="C160" s="44" t="n"/>
      <c r="D160" s="44" t="n"/>
      <c r="E160" s="72" t="n"/>
      <c r="F160" s="44" t="n"/>
      <c r="G160" s="44" t="n"/>
      <c r="H160" s="44" t="n"/>
      <c r="I160" s="44" t="n"/>
      <c r="J160" s="9">
        <f>IF(A160="","",TEXT(A160,"MMMM YYYY"))</f>
        <v/>
      </c>
      <c r="K160" s="9">
        <f>IF(A160="","",WEEKNUM(A160))</f>
        <v/>
      </c>
      <c r="L160" s="9">
        <f>IF(A160="","",MONTH(A160))</f>
        <v/>
      </c>
      <c r="M160" s="9">
        <f>IF(A160="","",YEAR(A160))</f>
        <v/>
      </c>
    </row>
    <row r="161">
      <c r="A161" s="47" t="n"/>
      <c r="B161" s="48" t="n"/>
      <c r="C161" s="48" t="n"/>
      <c r="D161" s="48" t="n"/>
      <c r="E161" s="73" t="n"/>
      <c r="F161" s="48" t="n"/>
      <c r="G161" s="48" t="n"/>
      <c r="H161" s="48" t="n"/>
      <c r="I161" s="48" t="n"/>
      <c r="J161" s="12">
        <f>IF(A161="","",TEXT(A161,"MMMM YYYY"))</f>
        <v/>
      </c>
      <c r="K161" s="12">
        <f>IF(A161="","",WEEKNUM(A161))</f>
        <v/>
      </c>
      <c r="L161" s="12">
        <f>IF(A161="","",MONTH(A161))</f>
        <v/>
      </c>
      <c r="M161" s="12">
        <f>IF(A161="","",YEAR(A161))</f>
        <v/>
      </c>
    </row>
    <row r="162">
      <c r="A162" s="43" t="n"/>
      <c r="B162" s="44" t="n"/>
      <c r="C162" s="44" t="n"/>
      <c r="D162" s="44" t="n"/>
      <c r="E162" s="72" t="n"/>
      <c r="F162" s="44" t="n"/>
      <c r="G162" s="44" t="n"/>
      <c r="H162" s="44" t="n"/>
      <c r="I162" s="44" t="n"/>
      <c r="J162" s="9">
        <f>IF(A162="","",TEXT(A162,"MMMM YYYY"))</f>
        <v/>
      </c>
      <c r="K162" s="9">
        <f>IF(A162="","",WEEKNUM(A162))</f>
        <v/>
      </c>
      <c r="L162" s="9">
        <f>IF(A162="","",MONTH(A162))</f>
        <v/>
      </c>
      <c r="M162" s="9">
        <f>IF(A162="","",YEAR(A162))</f>
        <v/>
      </c>
    </row>
    <row r="163">
      <c r="A163" s="47" t="n"/>
      <c r="B163" s="48" t="n"/>
      <c r="C163" s="48" t="n"/>
      <c r="D163" s="48" t="n"/>
      <c r="E163" s="73" t="n"/>
      <c r="F163" s="48" t="n"/>
      <c r="G163" s="48" t="n"/>
      <c r="H163" s="48" t="n"/>
      <c r="I163" s="48" t="n"/>
      <c r="J163" s="12">
        <f>IF(A163="","",TEXT(A163,"MMMM YYYY"))</f>
        <v/>
      </c>
      <c r="K163" s="12">
        <f>IF(A163="","",WEEKNUM(A163))</f>
        <v/>
      </c>
      <c r="L163" s="12">
        <f>IF(A163="","",MONTH(A163))</f>
        <v/>
      </c>
      <c r="M163" s="12">
        <f>IF(A163="","",YEAR(A163))</f>
        <v/>
      </c>
    </row>
    <row r="164">
      <c r="A164" s="43" t="n"/>
      <c r="B164" s="44" t="n"/>
      <c r="C164" s="44" t="n"/>
      <c r="D164" s="44" t="n"/>
      <c r="E164" s="72" t="n"/>
      <c r="F164" s="44" t="n"/>
      <c r="G164" s="44" t="n"/>
      <c r="H164" s="44" t="n"/>
      <c r="I164" s="44" t="n"/>
      <c r="J164" s="9">
        <f>IF(A164="","",TEXT(A164,"MMMM YYYY"))</f>
        <v/>
      </c>
      <c r="K164" s="9">
        <f>IF(A164="","",WEEKNUM(A164))</f>
        <v/>
      </c>
      <c r="L164" s="9">
        <f>IF(A164="","",MONTH(A164))</f>
        <v/>
      </c>
      <c r="M164" s="9">
        <f>IF(A164="","",YEAR(A164))</f>
        <v/>
      </c>
    </row>
    <row r="165">
      <c r="A165" s="47" t="n"/>
      <c r="B165" s="48" t="n"/>
      <c r="C165" s="48" t="n"/>
      <c r="D165" s="48" t="n"/>
      <c r="E165" s="73" t="n"/>
      <c r="F165" s="48" t="n"/>
      <c r="G165" s="48" t="n"/>
      <c r="H165" s="48" t="n"/>
      <c r="I165" s="48" t="n"/>
      <c r="J165" s="12">
        <f>IF(A165="","",TEXT(A165,"MMMM YYYY"))</f>
        <v/>
      </c>
      <c r="K165" s="12">
        <f>IF(A165="","",WEEKNUM(A165))</f>
        <v/>
      </c>
      <c r="L165" s="12">
        <f>IF(A165="","",MONTH(A165))</f>
        <v/>
      </c>
      <c r="M165" s="12">
        <f>IF(A165="","",YEAR(A165))</f>
        <v/>
      </c>
    </row>
    <row r="166">
      <c r="A166" s="43" t="n"/>
      <c r="B166" s="44" t="n"/>
      <c r="C166" s="44" t="n"/>
      <c r="D166" s="44" t="n"/>
      <c r="E166" s="72" t="n"/>
      <c r="F166" s="44" t="n"/>
      <c r="G166" s="44" t="n"/>
      <c r="H166" s="44" t="n"/>
      <c r="I166" s="44" t="n"/>
      <c r="J166" s="9">
        <f>IF(A166="","",TEXT(A166,"MMMM YYYY"))</f>
        <v/>
      </c>
      <c r="K166" s="9">
        <f>IF(A166="","",WEEKNUM(A166))</f>
        <v/>
      </c>
      <c r="L166" s="9">
        <f>IF(A166="","",MONTH(A166))</f>
        <v/>
      </c>
      <c r="M166" s="9">
        <f>IF(A166="","",YEAR(A166))</f>
        <v/>
      </c>
    </row>
    <row r="167">
      <c r="A167" s="47" t="n"/>
      <c r="B167" s="48" t="n"/>
      <c r="C167" s="48" t="n"/>
      <c r="D167" s="48" t="n"/>
      <c r="E167" s="73" t="n"/>
      <c r="F167" s="48" t="n"/>
      <c r="G167" s="48" t="n"/>
      <c r="H167" s="48" t="n"/>
      <c r="I167" s="48" t="n"/>
      <c r="J167" s="12">
        <f>IF(A167="","",TEXT(A167,"MMMM YYYY"))</f>
        <v/>
      </c>
      <c r="K167" s="12">
        <f>IF(A167="","",WEEKNUM(A167))</f>
        <v/>
      </c>
      <c r="L167" s="12">
        <f>IF(A167="","",MONTH(A167))</f>
        <v/>
      </c>
      <c r="M167" s="12">
        <f>IF(A167="","",YEAR(A167))</f>
        <v/>
      </c>
    </row>
    <row r="168">
      <c r="A168" s="43" t="n"/>
      <c r="B168" s="44" t="n"/>
      <c r="C168" s="44" t="n"/>
      <c r="D168" s="44" t="n"/>
      <c r="E168" s="72" t="n"/>
      <c r="F168" s="44" t="n"/>
      <c r="G168" s="44" t="n"/>
      <c r="H168" s="44" t="n"/>
      <c r="I168" s="44" t="n"/>
      <c r="J168" s="9">
        <f>IF(A168="","",TEXT(A168,"MMMM YYYY"))</f>
        <v/>
      </c>
      <c r="K168" s="9">
        <f>IF(A168="","",WEEKNUM(A168))</f>
        <v/>
      </c>
      <c r="L168" s="9">
        <f>IF(A168="","",MONTH(A168))</f>
        <v/>
      </c>
      <c r="M168" s="9">
        <f>IF(A168="","",YEAR(A168))</f>
        <v/>
      </c>
    </row>
    <row r="169">
      <c r="A169" s="47" t="n"/>
      <c r="B169" s="48" t="n"/>
      <c r="C169" s="48" t="n"/>
      <c r="D169" s="48" t="n"/>
      <c r="E169" s="73" t="n"/>
      <c r="F169" s="48" t="n"/>
      <c r="G169" s="48" t="n"/>
      <c r="H169" s="48" t="n"/>
      <c r="I169" s="48" t="n"/>
      <c r="J169" s="12">
        <f>IF(A169="","",TEXT(A169,"MMMM YYYY"))</f>
        <v/>
      </c>
      <c r="K169" s="12">
        <f>IF(A169="","",WEEKNUM(A169))</f>
        <v/>
      </c>
      <c r="L169" s="12">
        <f>IF(A169="","",MONTH(A169))</f>
        <v/>
      </c>
      <c r="M169" s="12">
        <f>IF(A169="","",YEAR(A169))</f>
        <v/>
      </c>
    </row>
    <row r="170">
      <c r="A170" s="43" t="n"/>
      <c r="B170" s="44" t="n"/>
      <c r="C170" s="44" t="n"/>
      <c r="D170" s="44" t="n"/>
      <c r="E170" s="72" t="n"/>
      <c r="F170" s="44" t="n"/>
      <c r="G170" s="44" t="n"/>
      <c r="H170" s="44" t="n"/>
      <c r="I170" s="44" t="n"/>
      <c r="J170" s="9">
        <f>IF(A170="","",TEXT(A170,"MMMM YYYY"))</f>
        <v/>
      </c>
      <c r="K170" s="9">
        <f>IF(A170="","",WEEKNUM(A170))</f>
        <v/>
      </c>
      <c r="L170" s="9">
        <f>IF(A170="","",MONTH(A170))</f>
        <v/>
      </c>
      <c r="M170" s="9">
        <f>IF(A170="","",YEAR(A170))</f>
        <v/>
      </c>
    </row>
    <row r="171">
      <c r="A171" s="47" t="n"/>
      <c r="B171" s="48" t="n"/>
      <c r="C171" s="48" t="n"/>
      <c r="D171" s="48" t="n"/>
      <c r="E171" s="73" t="n"/>
      <c r="F171" s="48" t="n"/>
      <c r="G171" s="48" t="n"/>
      <c r="H171" s="48" t="n"/>
      <c r="I171" s="48" t="n"/>
      <c r="J171" s="12">
        <f>IF(A171="","",TEXT(A171,"MMMM YYYY"))</f>
        <v/>
      </c>
      <c r="K171" s="12">
        <f>IF(A171="","",WEEKNUM(A171))</f>
        <v/>
      </c>
      <c r="L171" s="12">
        <f>IF(A171="","",MONTH(A171))</f>
        <v/>
      </c>
      <c r="M171" s="12">
        <f>IF(A171="","",YEAR(A171))</f>
        <v/>
      </c>
    </row>
    <row r="172">
      <c r="A172" s="43" t="n"/>
      <c r="B172" s="44" t="n"/>
      <c r="C172" s="44" t="n"/>
      <c r="D172" s="44" t="n"/>
      <c r="E172" s="72" t="n"/>
      <c r="F172" s="44" t="n"/>
      <c r="G172" s="44" t="n"/>
      <c r="H172" s="44" t="n"/>
      <c r="I172" s="44" t="n"/>
      <c r="J172" s="9">
        <f>IF(A172="","",TEXT(A172,"MMMM YYYY"))</f>
        <v/>
      </c>
      <c r="K172" s="9">
        <f>IF(A172="","",WEEKNUM(A172))</f>
        <v/>
      </c>
      <c r="L172" s="9">
        <f>IF(A172="","",MONTH(A172))</f>
        <v/>
      </c>
      <c r="M172" s="9">
        <f>IF(A172="","",YEAR(A172))</f>
        <v/>
      </c>
    </row>
    <row r="173">
      <c r="A173" s="47" t="n"/>
      <c r="B173" s="48" t="n"/>
      <c r="C173" s="48" t="n"/>
      <c r="D173" s="48" t="n"/>
      <c r="E173" s="73" t="n"/>
      <c r="F173" s="48" t="n"/>
      <c r="G173" s="48" t="n"/>
      <c r="H173" s="48" t="n"/>
      <c r="I173" s="48" t="n"/>
      <c r="J173" s="12">
        <f>IF(A173="","",TEXT(A173,"MMMM YYYY"))</f>
        <v/>
      </c>
      <c r="K173" s="12">
        <f>IF(A173="","",WEEKNUM(A173))</f>
        <v/>
      </c>
      <c r="L173" s="12">
        <f>IF(A173="","",MONTH(A173))</f>
        <v/>
      </c>
      <c r="M173" s="12">
        <f>IF(A173="","",YEAR(A173))</f>
        <v/>
      </c>
    </row>
    <row r="174">
      <c r="A174" s="43" t="n"/>
      <c r="B174" s="44" t="n"/>
      <c r="C174" s="44" t="n"/>
      <c r="D174" s="44" t="n"/>
      <c r="E174" s="72" t="n"/>
      <c r="F174" s="44" t="n"/>
      <c r="G174" s="44" t="n"/>
      <c r="H174" s="44" t="n"/>
      <c r="I174" s="44" t="n"/>
      <c r="J174" s="9">
        <f>IF(A174="","",TEXT(A174,"MMMM YYYY"))</f>
        <v/>
      </c>
      <c r="K174" s="9">
        <f>IF(A174="","",WEEKNUM(A174))</f>
        <v/>
      </c>
      <c r="L174" s="9">
        <f>IF(A174="","",MONTH(A174))</f>
        <v/>
      </c>
      <c r="M174" s="9">
        <f>IF(A174="","",YEAR(A174))</f>
        <v/>
      </c>
    </row>
    <row r="175">
      <c r="A175" s="47" t="n"/>
      <c r="B175" s="48" t="n"/>
      <c r="C175" s="48" t="n"/>
      <c r="D175" s="48" t="n"/>
      <c r="E175" s="73" t="n"/>
      <c r="F175" s="48" t="n"/>
      <c r="G175" s="48" t="n"/>
      <c r="H175" s="48" t="n"/>
      <c r="I175" s="48" t="n"/>
      <c r="J175" s="12">
        <f>IF(A175="","",TEXT(A175,"MMMM YYYY"))</f>
        <v/>
      </c>
      <c r="K175" s="12">
        <f>IF(A175="","",WEEKNUM(A175))</f>
        <v/>
      </c>
      <c r="L175" s="12">
        <f>IF(A175="","",MONTH(A175))</f>
        <v/>
      </c>
      <c r="M175" s="12">
        <f>IF(A175="","",YEAR(A175))</f>
        <v/>
      </c>
    </row>
    <row r="176">
      <c r="A176" s="43" t="n"/>
      <c r="B176" s="44" t="n"/>
      <c r="C176" s="44" t="n"/>
      <c r="D176" s="44" t="n"/>
      <c r="E176" s="72" t="n"/>
      <c r="F176" s="44" t="n"/>
      <c r="G176" s="44" t="n"/>
      <c r="H176" s="44" t="n"/>
      <c r="I176" s="44" t="n"/>
      <c r="J176" s="9">
        <f>IF(A176="","",TEXT(A176,"MMMM YYYY"))</f>
        <v/>
      </c>
      <c r="K176" s="9">
        <f>IF(A176="","",WEEKNUM(A176))</f>
        <v/>
      </c>
      <c r="L176" s="9">
        <f>IF(A176="","",MONTH(A176))</f>
        <v/>
      </c>
      <c r="M176" s="9">
        <f>IF(A176="","",YEAR(A176))</f>
        <v/>
      </c>
    </row>
    <row r="177">
      <c r="A177" s="47" t="n"/>
      <c r="B177" s="48" t="n"/>
      <c r="C177" s="48" t="n"/>
      <c r="D177" s="48" t="n"/>
      <c r="E177" s="73" t="n"/>
      <c r="F177" s="48" t="n"/>
      <c r="G177" s="48" t="n"/>
      <c r="H177" s="48" t="n"/>
      <c r="I177" s="48" t="n"/>
      <c r="J177" s="12">
        <f>IF(A177="","",TEXT(A177,"MMMM YYYY"))</f>
        <v/>
      </c>
      <c r="K177" s="12">
        <f>IF(A177="","",WEEKNUM(A177))</f>
        <v/>
      </c>
      <c r="L177" s="12">
        <f>IF(A177="","",MONTH(A177))</f>
        <v/>
      </c>
      <c r="M177" s="12">
        <f>IF(A177="","",YEAR(A177))</f>
        <v/>
      </c>
    </row>
    <row r="178">
      <c r="A178" s="43" t="n"/>
      <c r="B178" s="44" t="n"/>
      <c r="C178" s="44" t="n"/>
      <c r="D178" s="44" t="n"/>
      <c r="E178" s="72" t="n"/>
      <c r="F178" s="44" t="n"/>
      <c r="G178" s="44" t="n"/>
      <c r="H178" s="44" t="n"/>
      <c r="I178" s="44" t="n"/>
      <c r="J178" s="9">
        <f>IF(A178="","",TEXT(A178,"MMMM YYYY"))</f>
        <v/>
      </c>
      <c r="K178" s="9">
        <f>IF(A178="","",WEEKNUM(A178))</f>
        <v/>
      </c>
      <c r="L178" s="9">
        <f>IF(A178="","",MONTH(A178))</f>
        <v/>
      </c>
      <c r="M178" s="9">
        <f>IF(A178="","",YEAR(A178))</f>
        <v/>
      </c>
    </row>
    <row r="179">
      <c r="A179" s="47" t="n"/>
      <c r="B179" s="48" t="n"/>
      <c r="C179" s="48" t="n"/>
      <c r="D179" s="48" t="n"/>
      <c r="E179" s="73" t="n"/>
      <c r="F179" s="48" t="n"/>
      <c r="G179" s="48" t="n"/>
      <c r="H179" s="48" t="n"/>
      <c r="I179" s="48" t="n"/>
      <c r="J179" s="12">
        <f>IF(A179="","",TEXT(A179,"MMMM YYYY"))</f>
        <v/>
      </c>
      <c r="K179" s="12">
        <f>IF(A179="","",WEEKNUM(A179))</f>
        <v/>
      </c>
      <c r="L179" s="12">
        <f>IF(A179="","",MONTH(A179))</f>
        <v/>
      </c>
      <c r="M179" s="12">
        <f>IF(A179="","",YEAR(A179))</f>
        <v/>
      </c>
    </row>
    <row r="180">
      <c r="A180" s="43" t="n"/>
      <c r="B180" s="44" t="n"/>
      <c r="C180" s="44" t="n"/>
      <c r="D180" s="44" t="n"/>
      <c r="E180" s="72" t="n"/>
      <c r="F180" s="44" t="n"/>
      <c r="G180" s="44" t="n"/>
      <c r="H180" s="44" t="n"/>
      <c r="I180" s="44" t="n"/>
      <c r="J180" s="9">
        <f>IF(A180="","",TEXT(A180,"MMMM YYYY"))</f>
        <v/>
      </c>
      <c r="K180" s="9">
        <f>IF(A180="","",WEEKNUM(A180))</f>
        <v/>
      </c>
      <c r="L180" s="9">
        <f>IF(A180="","",MONTH(A180))</f>
        <v/>
      </c>
      <c r="M180" s="9">
        <f>IF(A180="","",YEAR(A180))</f>
        <v/>
      </c>
    </row>
    <row r="181">
      <c r="A181" s="47" t="n"/>
      <c r="B181" s="48" t="n"/>
      <c r="C181" s="48" t="n"/>
      <c r="D181" s="48" t="n"/>
      <c r="E181" s="73" t="n"/>
      <c r="F181" s="48" t="n"/>
      <c r="G181" s="48" t="n"/>
      <c r="H181" s="48" t="n"/>
      <c r="I181" s="48" t="n"/>
      <c r="J181" s="12">
        <f>IF(A181="","",TEXT(A181,"MMMM YYYY"))</f>
        <v/>
      </c>
      <c r="K181" s="12">
        <f>IF(A181="","",WEEKNUM(A181))</f>
        <v/>
      </c>
      <c r="L181" s="12">
        <f>IF(A181="","",MONTH(A181))</f>
        <v/>
      </c>
      <c r="M181" s="12">
        <f>IF(A181="","",YEAR(A181))</f>
        <v/>
      </c>
    </row>
    <row r="182">
      <c r="A182" s="43" t="n"/>
      <c r="B182" s="44" t="n"/>
      <c r="C182" s="44" t="n"/>
      <c r="D182" s="44" t="n"/>
      <c r="E182" s="72" t="n"/>
      <c r="F182" s="44" t="n"/>
      <c r="G182" s="44" t="n"/>
      <c r="H182" s="44" t="n"/>
      <c r="I182" s="44" t="n"/>
      <c r="J182" s="9">
        <f>IF(A182="","",TEXT(A182,"MMMM YYYY"))</f>
        <v/>
      </c>
      <c r="K182" s="9">
        <f>IF(A182="","",WEEKNUM(A182))</f>
        <v/>
      </c>
      <c r="L182" s="9">
        <f>IF(A182="","",MONTH(A182))</f>
        <v/>
      </c>
      <c r="M182" s="9">
        <f>IF(A182="","",YEAR(A182))</f>
        <v/>
      </c>
    </row>
    <row r="183">
      <c r="A183" s="47" t="n"/>
      <c r="B183" s="48" t="n"/>
      <c r="C183" s="48" t="n"/>
      <c r="D183" s="48" t="n"/>
      <c r="E183" s="73" t="n"/>
      <c r="F183" s="48" t="n"/>
      <c r="G183" s="48" t="n"/>
      <c r="H183" s="48" t="n"/>
      <c r="I183" s="48" t="n"/>
      <c r="J183" s="12">
        <f>IF(A183="","",TEXT(A183,"MMMM YYYY"))</f>
        <v/>
      </c>
      <c r="K183" s="12">
        <f>IF(A183="","",WEEKNUM(A183))</f>
        <v/>
      </c>
      <c r="L183" s="12">
        <f>IF(A183="","",MONTH(A183))</f>
        <v/>
      </c>
      <c r="M183" s="12">
        <f>IF(A183="","",YEAR(A183))</f>
        <v/>
      </c>
    </row>
    <row r="184">
      <c r="A184" s="43" t="n"/>
      <c r="B184" s="44" t="n"/>
      <c r="C184" s="44" t="n"/>
      <c r="D184" s="44" t="n"/>
      <c r="E184" s="72" t="n"/>
      <c r="F184" s="44" t="n"/>
      <c r="G184" s="44" t="n"/>
      <c r="H184" s="44" t="n"/>
      <c r="I184" s="44" t="n"/>
      <c r="J184" s="9">
        <f>IF(A184="","",TEXT(A184,"MMMM YYYY"))</f>
        <v/>
      </c>
      <c r="K184" s="9">
        <f>IF(A184="","",WEEKNUM(A184))</f>
        <v/>
      </c>
      <c r="L184" s="9">
        <f>IF(A184="","",MONTH(A184))</f>
        <v/>
      </c>
      <c r="M184" s="9">
        <f>IF(A184="","",YEAR(A184))</f>
        <v/>
      </c>
    </row>
    <row r="185">
      <c r="A185" s="47" t="n"/>
      <c r="B185" s="48" t="n"/>
      <c r="C185" s="48" t="n"/>
      <c r="D185" s="48" t="n"/>
      <c r="E185" s="73" t="n"/>
      <c r="F185" s="48" t="n"/>
      <c r="G185" s="48" t="n"/>
      <c r="H185" s="48" t="n"/>
      <c r="I185" s="48" t="n"/>
      <c r="J185" s="12">
        <f>IF(A185="","",TEXT(A185,"MMMM YYYY"))</f>
        <v/>
      </c>
      <c r="K185" s="12">
        <f>IF(A185="","",WEEKNUM(A185))</f>
        <v/>
      </c>
      <c r="L185" s="12">
        <f>IF(A185="","",MONTH(A185))</f>
        <v/>
      </c>
      <c r="M185" s="12">
        <f>IF(A185="","",YEAR(A185))</f>
        <v/>
      </c>
    </row>
    <row r="186">
      <c r="A186" s="43" t="n"/>
      <c r="B186" s="44" t="n"/>
      <c r="C186" s="44" t="n"/>
      <c r="D186" s="44" t="n"/>
      <c r="E186" s="72" t="n"/>
      <c r="F186" s="44" t="n"/>
      <c r="G186" s="44" t="n"/>
      <c r="H186" s="44" t="n"/>
      <c r="I186" s="44" t="n"/>
      <c r="J186" s="9">
        <f>IF(A186="","",TEXT(A186,"MMMM YYYY"))</f>
        <v/>
      </c>
      <c r="K186" s="9">
        <f>IF(A186="","",WEEKNUM(A186))</f>
        <v/>
      </c>
      <c r="L186" s="9">
        <f>IF(A186="","",MONTH(A186))</f>
        <v/>
      </c>
      <c r="M186" s="9">
        <f>IF(A186="","",YEAR(A186))</f>
        <v/>
      </c>
    </row>
    <row r="187">
      <c r="A187" s="47" t="n"/>
      <c r="B187" s="48" t="n"/>
      <c r="C187" s="48" t="n"/>
      <c r="D187" s="48" t="n"/>
      <c r="E187" s="73" t="n"/>
      <c r="F187" s="48" t="n"/>
      <c r="G187" s="48" t="n"/>
      <c r="H187" s="48" t="n"/>
      <c r="I187" s="48" t="n"/>
      <c r="J187" s="12">
        <f>IF(A187="","",TEXT(A187,"MMMM YYYY"))</f>
        <v/>
      </c>
      <c r="K187" s="12">
        <f>IF(A187="","",WEEKNUM(A187))</f>
        <v/>
      </c>
      <c r="L187" s="12">
        <f>IF(A187="","",MONTH(A187))</f>
        <v/>
      </c>
      <c r="M187" s="12">
        <f>IF(A187="","",YEAR(A187))</f>
        <v/>
      </c>
    </row>
    <row r="188">
      <c r="A188" s="43" t="n"/>
      <c r="B188" s="44" t="n"/>
      <c r="C188" s="44" t="n"/>
      <c r="D188" s="44" t="n"/>
      <c r="E188" s="72" t="n"/>
      <c r="F188" s="44" t="n"/>
      <c r="G188" s="44" t="n"/>
      <c r="H188" s="44" t="n"/>
      <c r="I188" s="44" t="n"/>
      <c r="J188" s="9">
        <f>IF(A188="","",TEXT(A188,"MMMM YYYY"))</f>
        <v/>
      </c>
      <c r="K188" s="9">
        <f>IF(A188="","",WEEKNUM(A188))</f>
        <v/>
      </c>
      <c r="L188" s="9">
        <f>IF(A188="","",MONTH(A188))</f>
        <v/>
      </c>
      <c r="M188" s="9">
        <f>IF(A188="","",YEAR(A188))</f>
        <v/>
      </c>
    </row>
    <row r="189">
      <c r="A189" s="47" t="n"/>
      <c r="B189" s="48" t="n"/>
      <c r="C189" s="48" t="n"/>
      <c r="D189" s="48" t="n"/>
      <c r="E189" s="73" t="n"/>
      <c r="F189" s="48" t="n"/>
      <c r="G189" s="48" t="n"/>
      <c r="H189" s="48" t="n"/>
      <c r="I189" s="48" t="n"/>
      <c r="J189" s="12">
        <f>IF(A189="","",TEXT(A189,"MMMM YYYY"))</f>
        <v/>
      </c>
      <c r="K189" s="12">
        <f>IF(A189="","",WEEKNUM(A189))</f>
        <v/>
      </c>
      <c r="L189" s="12">
        <f>IF(A189="","",MONTH(A189))</f>
        <v/>
      </c>
      <c r="M189" s="12">
        <f>IF(A189="","",YEAR(A189))</f>
        <v/>
      </c>
    </row>
    <row r="190">
      <c r="A190" s="43" t="n"/>
      <c r="B190" s="44" t="n"/>
      <c r="C190" s="44" t="n"/>
      <c r="D190" s="44" t="n"/>
      <c r="E190" s="72" t="n"/>
      <c r="F190" s="44" t="n"/>
      <c r="G190" s="44" t="n"/>
      <c r="H190" s="44" t="n"/>
      <c r="I190" s="44" t="n"/>
      <c r="J190" s="9">
        <f>IF(A190="","",TEXT(A190,"MMMM YYYY"))</f>
        <v/>
      </c>
      <c r="K190" s="9">
        <f>IF(A190="","",WEEKNUM(A190))</f>
        <v/>
      </c>
      <c r="L190" s="9">
        <f>IF(A190="","",MONTH(A190))</f>
        <v/>
      </c>
      <c r="M190" s="9">
        <f>IF(A190="","",YEAR(A190))</f>
        <v/>
      </c>
    </row>
    <row r="191">
      <c r="A191" s="47" t="n"/>
      <c r="B191" s="48" t="n"/>
      <c r="C191" s="48" t="n"/>
      <c r="D191" s="48" t="n"/>
      <c r="E191" s="73" t="n"/>
      <c r="F191" s="48" t="n"/>
      <c r="G191" s="48" t="n"/>
      <c r="H191" s="48" t="n"/>
      <c r="I191" s="48" t="n"/>
      <c r="J191" s="12">
        <f>IF(A191="","",TEXT(A191,"MMMM YYYY"))</f>
        <v/>
      </c>
      <c r="K191" s="12">
        <f>IF(A191="","",WEEKNUM(A191))</f>
        <v/>
      </c>
      <c r="L191" s="12">
        <f>IF(A191="","",MONTH(A191))</f>
        <v/>
      </c>
      <c r="M191" s="12">
        <f>IF(A191="","",YEAR(A191))</f>
        <v/>
      </c>
    </row>
    <row r="192">
      <c r="A192" s="43" t="n"/>
      <c r="B192" s="44" t="n"/>
      <c r="C192" s="44" t="n"/>
      <c r="D192" s="44" t="n"/>
      <c r="E192" s="72" t="n"/>
      <c r="F192" s="44" t="n"/>
      <c r="G192" s="44" t="n"/>
      <c r="H192" s="44" t="n"/>
      <c r="I192" s="44" t="n"/>
      <c r="J192" s="9">
        <f>IF(A192="","",TEXT(A192,"MMMM YYYY"))</f>
        <v/>
      </c>
      <c r="K192" s="9">
        <f>IF(A192="","",WEEKNUM(A192))</f>
        <v/>
      </c>
      <c r="L192" s="9">
        <f>IF(A192="","",MONTH(A192))</f>
        <v/>
      </c>
      <c r="M192" s="9">
        <f>IF(A192="","",YEAR(A192))</f>
        <v/>
      </c>
    </row>
    <row r="193">
      <c r="A193" s="47" t="n"/>
      <c r="B193" s="48" t="n"/>
      <c r="C193" s="48" t="n"/>
      <c r="D193" s="48" t="n"/>
      <c r="E193" s="73" t="n"/>
      <c r="F193" s="48" t="n"/>
      <c r="G193" s="48" t="n"/>
      <c r="H193" s="48" t="n"/>
      <c r="I193" s="48" t="n"/>
      <c r="J193" s="12">
        <f>IF(A193="","",TEXT(A193,"MMMM YYYY"))</f>
        <v/>
      </c>
      <c r="K193" s="12">
        <f>IF(A193="","",WEEKNUM(A193))</f>
        <v/>
      </c>
      <c r="L193" s="12">
        <f>IF(A193="","",MONTH(A193))</f>
        <v/>
      </c>
      <c r="M193" s="12">
        <f>IF(A193="","",YEAR(A193))</f>
        <v/>
      </c>
    </row>
    <row r="194">
      <c r="A194" s="43" t="n"/>
      <c r="B194" s="44" t="n"/>
      <c r="C194" s="44" t="n"/>
      <c r="D194" s="44" t="n"/>
      <c r="E194" s="72" t="n"/>
      <c r="F194" s="44" t="n"/>
      <c r="G194" s="44" t="n"/>
      <c r="H194" s="44" t="n"/>
      <c r="I194" s="44" t="n"/>
      <c r="J194" s="9">
        <f>IF(A194="","",TEXT(A194,"MMMM YYYY"))</f>
        <v/>
      </c>
      <c r="K194" s="9">
        <f>IF(A194="","",WEEKNUM(A194))</f>
        <v/>
      </c>
      <c r="L194" s="9">
        <f>IF(A194="","",MONTH(A194))</f>
        <v/>
      </c>
      <c r="M194" s="9">
        <f>IF(A194="","",YEAR(A194))</f>
        <v/>
      </c>
    </row>
    <row r="195">
      <c r="A195" s="47" t="n"/>
      <c r="B195" s="48" t="n"/>
      <c r="C195" s="48" t="n"/>
      <c r="D195" s="48" t="n"/>
      <c r="E195" s="73" t="n"/>
      <c r="F195" s="48" t="n"/>
      <c r="G195" s="48" t="n"/>
      <c r="H195" s="48" t="n"/>
      <c r="I195" s="48" t="n"/>
      <c r="J195" s="12">
        <f>IF(A195="","",TEXT(A195,"MMMM YYYY"))</f>
        <v/>
      </c>
      <c r="K195" s="12">
        <f>IF(A195="","",WEEKNUM(A195))</f>
        <v/>
      </c>
      <c r="L195" s="12">
        <f>IF(A195="","",MONTH(A195))</f>
        <v/>
      </c>
      <c r="M195" s="12">
        <f>IF(A195="","",YEAR(A195))</f>
        <v/>
      </c>
    </row>
    <row r="196">
      <c r="A196" s="43" t="n"/>
      <c r="B196" s="44" t="n"/>
      <c r="C196" s="44" t="n"/>
      <c r="D196" s="44" t="n"/>
      <c r="E196" s="72" t="n"/>
      <c r="F196" s="44" t="n"/>
      <c r="G196" s="44" t="n"/>
      <c r="H196" s="44" t="n"/>
      <c r="I196" s="44" t="n"/>
      <c r="J196" s="9">
        <f>IF(A196="","",TEXT(A196,"MMMM YYYY"))</f>
        <v/>
      </c>
      <c r="K196" s="9">
        <f>IF(A196="","",WEEKNUM(A196))</f>
        <v/>
      </c>
      <c r="L196" s="9">
        <f>IF(A196="","",MONTH(A196))</f>
        <v/>
      </c>
      <c r="M196" s="9">
        <f>IF(A196="","",YEAR(A196))</f>
        <v/>
      </c>
    </row>
    <row r="197">
      <c r="A197" s="47" t="n"/>
      <c r="B197" s="48" t="n"/>
      <c r="C197" s="48" t="n"/>
      <c r="D197" s="48" t="n"/>
      <c r="E197" s="73" t="n"/>
      <c r="F197" s="48" t="n"/>
      <c r="G197" s="48" t="n"/>
      <c r="H197" s="48" t="n"/>
      <c r="I197" s="48" t="n"/>
      <c r="J197" s="12">
        <f>IF(A197="","",TEXT(A197,"MMMM YYYY"))</f>
        <v/>
      </c>
      <c r="K197" s="12">
        <f>IF(A197="","",WEEKNUM(A197))</f>
        <v/>
      </c>
      <c r="L197" s="12">
        <f>IF(A197="","",MONTH(A197))</f>
        <v/>
      </c>
      <c r="M197" s="12">
        <f>IF(A197="","",YEAR(A197))</f>
        <v/>
      </c>
    </row>
    <row r="198">
      <c r="A198" s="43" t="n"/>
      <c r="B198" s="44" t="n"/>
      <c r="C198" s="44" t="n"/>
      <c r="D198" s="44" t="n"/>
      <c r="E198" s="72" t="n"/>
      <c r="F198" s="44" t="n"/>
      <c r="G198" s="44" t="n"/>
      <c r="H198" s="44" t="n"/>
      <c r="I198" s="44" t="n"/>
      <c r="J198" s="9">
        <f>IF(A198="","",TEXT(A198,"MMMM YYYY"))</f>
        <v/>
      </c>
      <c r="K198" s="9">
        <f>IF(A198="","",WEEKNUM(A198))</f>
        <v/>
      </c>
      <c r="L198" s="9">
        <f>IF(A198="","",MONTH(A198))</f>
        <v/>
      </c>
      <c r="M198" s="9">
        <f>IF(A198="","",YEAR(A198))</f>
        <v/>
      </c>
    </row>
    <row r="199">
      <c r="A199" s="47" t="n"/>
      <c r="B199" s="48" t="n"/>
      <c r="C199" s="48" t="n"/>
      <c r="D199" s="48" t="n"/>
      <c r="E199" s="73" t="n"/>
      <c r="F199" s="48" t="n"/>
      <c r="G199" s="48" t="n"/>
      <c r="H199" s="48" t="n"/>
      <c r="I199" s="48" t="n"/>
      <c r="J199" s="12">
        <f>IF(A199="","",TEXT(A199,"MMMM YYYY"))</f>
        <v/>
      </c>
      <c r="K199" s="12">
        <f>IF(A199="","",WEEKNUM(A199))</f>
        <v/>
      </c>
      <c r="L199" s="12">
        <f>IF(A199="","",MONTH(A199))</f>
        <v/>
      </c>
      <c r="M199" s="12">
        <f>IF(A199="","",YEAR(A199))</f>
        <v/>
      </c>
    </row>
    <row r="200">
      <c r="A200" s="43" t="n"/>
      <c r="B200" s="44" t="n"/>
      <c r="C200" s="44" t="n"/>
      <c r="D200" s="44" t="n"/>
      <c r="E200" s="72" t="n"/>
      <c r="F200" s="44" t="n"/>
      <c r="G200" s="44" t="n"/>
      <c r="H200" s="44" t="n"/>
      <c r="I200" s="44" t="n"/>
      <c r="J200" s="9">
        <f>IF(A200="","",TEXT(A200,"MMMM YYYY"))</f>
        <v/>
      </c>
      <c r="K200" s="9">
        <f>IF(A200="","",WEEKNUM(A200))</f>
        <v/>
      </c>
      <c r="L200" s="9">
        <f>IF(A200="","",MONTH(A200))</f>
        <v/>
      </c>
      <c r="M200" s="9">
        <f>IF(A200="","",YEAR(A200))</f>
        <v/>
      </c>
    </row>
    <row r="201">
      <c r="A201" s="47" t="n"/>
      <c r="B201" s="48" t="n"/>
      <c r="C201" s="48" t="n"/>
      <c r="D201" s="48" t="n"/>
      <c r="E201" s="73" t="n"/>
      <c r="F201" s="48" t="n"/>
      <c r="G201" s="48" t="n"/>
      <c r="H201" s="48" t="n"/>
      <c r="I201" s="48" t="n"/>
      <c r="J201" s="12">
        <f>IF(A201="","",TEXT(A201,"MMMM YYYY"))</f>
        <v/>
      </c>
      <c r="K201" s="12">
        <f>IF(A201="","",WEEKNUM(A201))</f>
        <v/>
      </c>
      <c r="L201" s="12">
        <f>IF(A201="","",MONTH(A201))</f>
        <v/>
      </c>
      <c r="M201" s="12">
        <f>IF(A201="","",YEAR(A201))</f>
        <v/>
      </c>
    </row>
    <row r="202">
      <c r="A202" s="43" t="n"/>
      <c r="B202" s="44" t="n"/>
      <c r="C202" s="44" t="n"/>
      <c r="D202" s="44" t="n"/>
      <c r="E202" s="72" t="n"/>
      <c r="F202" s="44" t="n"/>
      <c r="G202" s="44" t="n"/>
      <c r="H202" s="44" t="n"/>
      <c r="I202" s="44" t="n"/>
      <c r="J202" s="9">
        <f>IF(A202="","",TEXT(A202,"MMMM YYYY"))</f>
        <v/>
      </c>
      <c r="K202" s="9">
        <f>IF(A202="","",WEEKNUM(A202))</f>
        <v/>
      </c>
      <c r="L202" s="9">
        <f>IF(A202="","",MONTH(A202))</f>
        <v/>
      </c>
      <c r="M202" s="9">
        <f>IF(A202="","",YEAR(A202))</f>
        <v/>
      </c>
    </row>
    <row r="203">
      <c r="A203" s="47" t="n"/>
      <c r="B203" s="48" t="n"/>
      <c r="C203" s="48" t="n"/>
      <c r="D203" s="48" t="n"/>
      <c r="E203" s="73" t="n"/>
      <c r="F203" s="48" t="n"/>
      <c r="G203" s="48" t="n"/>
      <c r="H203" s="48" t="n"/>
      <c r="I203" s="48" t="n"/>
      <c r="J203" s="12">
        <f>IF(A203="","",TEXT(A203,"MMMM YYYY"))</f>
        <v/>
      </c>
      <c r="K203" s="12">
        <f>IF(A203="","",WEEKNUM(A203))</f>
        <v/>
      </c>
      <c r="L203" s="12">
        <f>IF(A203="","",MONTH(A203))</f>
        <v/>
      </c>
      <c r="M203" s="12">
        <f>IF(A203="","",YEAR(A203))</f>
        <v/>
      </c>
    </row>
    <row r="204">
      <c r="A204" s="43" t="n"/>
      <c r="B204" s="44" t="n"/>
      <c r="C204" s="44" t="n"/>
      <c r="D204" s="44" t="n"/>
      <c r="E204" s="72" t="n"/>
      <c r="F204" s="44" t="n"/>
      <c r="G204" s="44" t="n"/>
      <c r="H204" s="44" t="n"/>
      <c r="I204" s="44" t="n"/>
      <c r="J204" s="9">
        <f>IF(A204="","",TEXT(A204,"MMMM YYYY"))</f>
        <v/>
      </c>
      <c r="K204" s="9">
        <f>IF(A204="","",WEEKNUM(A204))</f>
        <v/>
      </c>
      <c r="L204" s="9">
        <f>IF(A204="","",MONTH(A204))</f>
        <v/>
      </c>
      <c r="M204" s="9">
        <f>IF(A204="","",YEAR(A204))</f>
        <v/>
      </c>
    </row>
    <row r="205">
      <c r="A205" s="47" t="n"/>
      <c r="B205" s="48" t="n"/>
      <c r="C205" s="48" t="n"/>
      <c r="D205" s="48" t="n"/>
      <c r="E205" s="73" t="n"/>
      <c r="F205" s="48" t="n"/>
      <c r="G205" s="48" t="n"/>
      <c r="H205" s="48" t="n"/>
      <c r="I205" s="48" t="n"/>
      <c r="J205" s="12">
        <f>IF(A205="","",TEXT(A205,"MMMM YYYY"))</f>
        <v/>
      </c>
      <c r="K205" s="12">
        <f>IF(A205="","",WEEKNUM(A205))</f>
        <v/>
      </c>
      <c r="L205" s="12">
        <f>IF(A205="","",MONTH(A205))</f>
        <v/>
      </c>
      <c r="M205" s="12">
        <f>IF(A205="","",YEAR(A205))</f>
        <v/>
      </c>
    </row>
    <row r="206">
      <c r="A206" s="43" t="n"/>
      <c r="B206" s="44" t="n"/>
      <c r="C206" s="44" t="n"/>
      <c r="D206" s="44" t="n"/>
      <c r="E206" s="72" t="n"/>
      <c r="F206" s="44" t="n"/>
      <c r="G206" s="44" t="n"/>
      <c r="H206" s="44" t="n"/>
      <c r="I206" s="44" t="n"/>
      <c r="J206" s="9">
        <f>IF(A206="","",TEXT(A206,"MMMM YYYY"))</f>
        <v/>
      </c>
      <c r="K206" s="9">
        <f>IF(A206="","",WEEKNUM(A206))</f>
        <v/>
      </c>
      <c r="L206" s="9">
        <f>IF(A206="","",MONTH(A206))</f>
        <v/>
      </c>
      <c r="M206" s="9">
        <f>IF(A206="","",YEAR(A206))</f>
        <v/>
      </c>
    </row>
    <row r="207">
      <c r="A207" s="47" t="n"/>
      <c r="B207" s="48" t="n"/>
      <c r="C207" s="48" t="n"/>
      <c r="D207" s="48" t="n"/>
      <c r="E207" s="73" t="n"/>
      <c r="F207" s="48" t="n"/>
      <c r="G207" s="48" t="n"/>
      <c r="H207" s="48" t="n"/>
      <c r="I207" s="48" t="n"/>
      <c r="J207" s="12">
        <f>IF(A207="","",TEXT(A207,"MMMM YYYY"))</f>
        <v/>
      </c>
      <c r="K207" s="12">
        <f>IF(A207="","",WEEKNUM(A207))</f>
        <v/>
      </c>
      <c r="L207" s="12">
        <f>IF(A207="","",MONTH(A207))</f>
        <v/>
      </c>
      <c r="M207" s="12">
        <f>IF(A207="","",YEAR(A207))</f>
        <v/>
      </c>
    </row>
    <row r="208">
      <c r="A208" s="43" t="n"/>
      <c r="B208" s="44" t="n"/>
      <c r="C208" s="44" t="n"/>
      <c r="D208" s="44" t="n"/>
      <c r="E208" s="72" t="n"/>
      <c r="F208" s="44" t="n"/>
      <c r="G208" s="44" t="n"/>
      <c r="H208" s="44" t="n"/>
      <c r="I208" s="44" t="n"/>
      <c r="J208" s="9">
        <f>IF(A208="","",TEXT(A208,"MMMM YYYY"))</f>
        <v/>
      </c>
      <c r="K208" s="9">
        <f>IF(A208="","",WEEKNUM(A208))</f>
        <v/>
      </c>
      <c r="L208" s="9">
        <f>IF(A208="","",MONTH(A208))</f>
        <v/>
      </c>
      <c r="M208" s="9">
        <f>IF(A208="","",YEAR(A208))</f>
        <v/>
      </c>
    </row>
    <row r="209">
      <c r="A209" s="47" t="n"/>
      <c r="B209" s="48" t="n"/>
      <c r="C209" s="48" t="n"/>
      <c r="D209" s="48" t="n"/>
      <c r="E209" s="73" t="n"/>
      <c r="F209" s="48" t="n"/>
      <c r="G209" s="48" t="n"/>
      <c r="H209" s="48" t="n"/>
      <c r="I209" s="48" t="n"/>
      <c r="J209" s="12">
        <f>IF(A209="","",TEXT(A209,"MMMM YYYY"))</f>
        <v/>
      </c>
      <c r="K209" s="12">
        <f>IF(A209="","",WEEKNUM(A209))</f>
        <v/>
      </c>
      <c r="L209" s="12">
        <f>IF(A209="","",MONTH(A209))</f>
        <v/>
      </c>
      <c r="M209" s="12">
        <f>IF(A209="","",YEAR(A209))</f>
        <v/>
      </c>
    </row>
    <row r="210">
      <c r="A210" s="43" t="n"/>
      <c r="B210" s="44" t="n"/>
      <c r="C210" s="44" t="n"/>
      <c r="D210" s="44" t="n"/>
      <c r="E210" s="72" t="n"/>
      <c r="F210" s="44" t="n"/>
      <c r="G210" s="44" t="n"/>
      <c r="H210" s="44" t="n"/>
      <c r="I210" s="44" t="n"/>
      <c r="J210" s="9">
        <f>IF(A210="","",TEXT(A210,"MMMM YYYY"))</f>
        <v/>
      </c>
      <c r="K210" s="9">
        <f>IF(A210="","",WEEKNUM(A210))</f>
        <v/>
      </c>
      <c r="L210" s="9">
        <f>IF(A210="","",MONTH(A210))</f>
        <v/>
      </c>
      <c r="M210" s="9">
        <f>IF(A210="","",YEAR(A210))</f>
        <v/>
      </c>
    </row>
    <row r="211">
      <c r="A211" s="47" t="n"/>
      <c r="B211" s="48" t="n"/>
      <c r="C211" s="48" t="n"/>
      <c r="D211" s="48" t="n"/>
      <c r="E211" s="73" t="n"/>
      <c r="F211" s="48" t="n"/>
      <c r="G211" s="48" t="n"/>
      <c r="H211" s="48" t="n"/>
      <c r="I211" s="48" t="n"/>
      <c r="J211" s="12">
        <f>IF(A211="","",TEXT(A211,"MMMM YYYY"))</f>
        <v/>
      </c>
      <c r="K211" s="12">
        <f>IF(A211="","",WEEKNUM(A211))</f>
        <v/>
      </c>
      <c r="L211" s="12">
        <f>IF(A211="","",MONTH(A211))</f>
        <v/>
      </c>
      <c r="M211" s="12">
        <f>IF(A211="","",YEAR(A211))</f>
        <v/>
      </c>
    </row>
    <row r="212">
      <c r="A212" s="43" t="n"/>
      <c r="B212" s="44" t="n"/>
      <c r="C212" s="44" t="n"/>
      <c r="D212" s="44" t="n"/>
      <c r="E212" s="72" t="n"/>
      <c r="F212" s="44" t="n"/>
      <c r="G212" s="44" t="n"/>
      <c r="H212" s="44" t="n"/>
      <c r="I212" s="44" t="n"/>
      <c r="J212" s="9">
        <f>IF(A212="","",TEXT(A212,"MMMM YYYY"))</f>
        <v/>
      </c>
      <c r="K212" s="9">
        <f>IF(A212="","",WEEKNUM(A212))</f>
        <v/>
      </c>
      <c r="L212" s="9">
        <f>IF(A212="","",MONTH(A212))</f>
        <v/>
      </c>
      <c r="M212" s="9">
        <f>IF(A212="","",YEAR(A212))</f>
        <v/>
      </c>
    </row>
    <row r="213">
      <c r="A213" s="47" t="n"/>
      <c r="B213" s="48" t="n"/>
      <c r="C213" s="48" t="n"/>
      <c r="D213" s="48" t="n"/>
      <c r="E213" s="73" t="n"/>
      <c r="F213" s="48" t="n"/>
      <c r="G213" s="48" t="n"/>
      <c r="H213" s="48" t="n"/>
      <c r="I213" s="48" t="n"/>
      <c r="J213" s="12">
        <f>IF(A213="","",TEXT(A213,"MMMM YYYY"))</f>
        <v/>
      </c>
      <c r="K213" s="12">
        <f>IF(A213="","",WEEKNUM(A213))</f>
        <v/>
      </c>
      <c r="L213" s="12">
        <f>IF(A213="","",MONTH(A213))</f>
        <v/>
      </c>
      <c r="M213" s="12">
        <f>IF(A213="","",YEAR(A213))</f>
        <v/>
      </c>
    </row>
    <row r="214">
      <c r="A214" s="43" t="n"/>
      <c r="B214" s="44" t="n"/>
      <c r="C214" s="44" t="n"/>
      <c r="D214" s="44" t="n"/>
      <c r="E214" s="72" t="n"/>
      <c r="F214" s="44" t="n"/>
      <c r="G214" s="44" t="n"/>
      <c r="H214" s="44" t="n"/>
      <c r="I214" s="44" t="n"/>
      <c r="J214" s="9">
        <f>IF(A214="","",TEXT(A214,"MMMM YYYY"))</f>
        <v/>
      </c>
      <c r="K214" s="9">
        <f>IF(A214="","",WEEKNUM(A214))</f>
        <v/>
      </c>
      <c r="L214" s="9">
        <f>IF(A214="","",MONTH(A214))</f>
        <v/>
      </c>
      <c r="M214" s="9">
        <f>IF(A214="","",YEAR(A214))</f>
        <v/>
      </c>
    </row>
    <row r="215">
      <c r="A215" s="47" t="n"/>
      <c r="B215" s="48" t="n"/>
      <c r="C215" s="48" t="n"/>
      <c r="D215" s="48" t="n"/>
      <c r="E215" s="73" t="n"/>
      <c r="F215" s="48" t="n"/>
      <c r="G215" s="48" t="n"/>
      <c r="H215" s="48" t="n"/>
      <c r="I215" s="48" t="n"/>
      <c r="J215" s="12">
        <f>IF(A215="","",TEXT(A215,"MMMM YYYY"))</f>
        <v/>
      </c>
      <c r="K215" s="12">
        <f>IF(A215="","",WEEKNUM(A215))</f>
        <v/>
      </c>
      <c r="L215" s="12">
        <f>IF(A215="","",MONTH(A215))</f>
        <v/>
      </c>
      <c r="M215" s="12">
        <f>IF(A215="","",YEAR(A215))</f>
        <v/>
      </c>
    </row>
    <row r="216">
      <c r="A216" s="43" t="n"/>
      <c r="B216" s="44" t="n"/>
      <c r="C216" s="44" t="n"/>
      <c r="D216" s="44" t="n"/>
      <c r="E216" s="72" t="n"/>
      <c r="F216" s="44" t="n"/>
      <c r="G216" s="44" t="n"/>
      <c r="H216" s="44" t="n"/>
      <c r="I216" s="44" t="n"/>
      <c r="J216" s="9">
        <f>IF(A216="","",TEXT(A216,"MMMM YYYY"))</f>
        <v/>
      </c>
      <c r="K216" s="9">
        <f>IF(A216="","",WEEKNUM(A216))</f>
        <v/>
      </c>
      <c r="L216" s="9">
        <f>IF(A216="","",MONTH(A216))</f>
        <v/>
      </c>
      <c r="M216" s="9">
        <f>IF(A216="","",YEAR(A216))</f>
        <v/>
      </c>
    </row>
    <row r="217">
      <c r="A217" s="47" t="n"/>
      <c r="B217" s="48" t="n"/>
      <c r="C217" s="48" t="n"/>
      <c r="D217" s="48" t="n"/>
      <c r="E217" s="73" t="n"/>
      <c r="F217" s="48" t="n"/>
      <c r="G217" s="48" t="n"/>
      <c r="H217" s="48" t="n"/>
      <c r="I217" s="48" t="n"/>
      <c r="J217" s="12">
        <f>IF(A217="","",TEXT(A217,"MMMM YYYY"))</f>
        <v/>
      </c>
      <c r="K217" s="12">
        <f>IF(A217="","",WEEKNUM(A217))</f>
        <v/>
      </c>
      <c r="L217" s="12">
        <f>IF(A217="","",MONTH(A217))</f>
        <v/>
      </c>
      <c r="M217" s="12">
        <f>IF(A217="","",YEAR(A217))</f>
        <v/>
      </c>
    </row>
    <row r="218">
      <c r="A218" s="43" t="n"/>
      <c r="B218" s="44" t="n"/>
      <c r="C218" s="44" t="n"/>
      <c r="D218" s="44" t="n"/>
      <c r="E218" s="72" t="n"/>
      <c r="F218" s="44" t="n"/>
      <c r="G218" s="44" t="n"/>
      <c r="H218" s="44" t="n"/>
      <c r="I218" s="44" t="n"/>
      <c r="J218" s="9">
        <f>IF(A218="","",TEXT(A218,"MMMM YYYY"))</f>
        <v/>
      </c>
      <c r="K218" s="9">
        <f>IF(A218="","",WEEKNUM(A218))</f>
        <v/>
      </c>
      <c r="L218" s="9">
        <f>IF(A218="","",MONTH(A218))</f>
        <v/>
      </c>
      <c r="M218" s="9">
        <f>IF(A218="","",YEAR(A218))</f>
        <v/>
      </c>
    </row>
    <row r="219">
      <c r="A219" s="47" t="n"/>
      <c r="B219" s="48" t="n"/>
      <c r="C219" s="48" t="n"/>
      <c r="D219" s="48" t="n"/>
      <c r="E219" s="73" t="n"/>
      <c r="F219" s="48" t="n"/>
      <c r="G219" s="48" t="n"/>
      <c r="H219" s="48" t="n"/>
      <c r="I219" s="48" t="n"/>
      <c r="J219" s="12">
        <f>IF(A219="","",TEXT(A219,"MMMM YYYY"))</f>
        <v/>
      </c>
      <c r="K219" s="12">
        <f>IF(A219="","",WEEKNUM(A219))</f>
        <v/>
      </c>
      <c r="L219" s="12">
        <f>IF(A219="","",MONTH(A219))</f>
        <v/>
      </c>
      <c r="M219" s="12">
        <f>IF(A219="","",YEAR(A219))</f>
        <v/>
      </c>
    </row>
    <row r="220">
      <c r="A220" s="43" t="n"/>
      <c r="B220" s="44" t="n"/>
      <c r="C220" s="44" t="n"/>
      <c r="D220" s="44" t="n"/>
      <c r="E220" s="72" t="n"/>
      <c r="F220" s="44" t="n"/>
      <c r="G220" s="44" t="n"/>
      <c r="H220" s="44" t="n"/>
      <c r="I220" s="44" t="n"/>
      <c r="J220" s="9">
        <f>IF(A220="","",TEXT(A220,"MMMM YYYY"))</f>
        <v/>
      </c>
      <c r="K220" s="9">
        <f>IF(A220="","",WEEKNUM(A220))</f>
        <v/>
      </c>
      <c r="L220" s="9">
        <f>IF(A220="","",MONTH(A220))</f>
        <v/>
      </c>
      <c r="M220" s="9">
        <f>IF(A220="","",YEAR(A220))</f>
        <v/>
      </c>
    </row>
    <row r="221">
      <c r="A221" s="47" t="n"/>
      <c r="B221" s="48" t="n"/>
      <c r="C221" s="48" t="n"/>
      <c r="D221" s="48" t="n"/>
      <c r="E221" s="73" t="n"/>
      <c r="F221" s="48" t="n"/>
      <c r="G221" s="48" t="n"/>
      <c r="H221" s="48" t="n"/>
      <c r="I221" s="48" t="n"/>
      <c r="J221" s="12">
        <f>IF(A221="","",TEXT(A221,"MMMM YYYY"))</f>
        <v/>
      </c>
      <c r="K221" s="12">
        <f>IF(A221="","",WEEKNUM(A221))</f>
        <v/>
      </c>
      <c r="L221" s="12">
        <f>IF(A221="","",MONTH(A221))</f>
        <v/>
      </c>
      <c r="M221" s="12">
        <f>IF(A221="","",YEAR(A221))</f>
        <v/>
      </c>
    </row>
    <row r="222">
      <c r="A222" s="43" t="n"/>
      <c r="B222" s="44" t="n"/>
      <c r="C222" s="44" t="n"/>
      <c r="D222" s="44" t="n"/>
      <c r="E222" s="72" t="n"/>
      <c r="F222" s="44" t="n"/>
      <c r="G222" s="44" t="n"/>
      <c r="H222" s="44" t="n"/>
      <c r="I222" s="44" t="n"/>
      <c r="J222" s="9">
        <f>IF(A222="","",TEXT(A222,"MMMM YYYY"))</f>
        <v/>
      </c>
      <c r="K222" s="9">
        <f>IF(A222="","",WEEKNUM(A222))</f>
        <v/>
      </c>
      <c r="L222" s="9">
        <f>IF(A222="","",MONTH(A222))</f>
        <v/>
      </c>
      <c r="M222" s="9">
        <f>IF(A222="","",YEAR(A222))</f>
        <v/>
      </c>
    </row>
    <row r="223">
      <c r="A223" s="47" t="n"/>
      <c r="B223" s="48" t="n"/>
      <c r="C223" s="48" t="n"/>
      <c r="D223" s="48" t="n"/>
      <c r="E223" s="73" t="n"/>
      <c r="F223" s="48" t="n"/>
      <c r="G223" s="48" t="n"/>
      <c r="H223" s="48" t="n"/>
      <c r="I223" s="48" t="n"/>
      <c r="J223" s="12">
        <f>IF(A223="","",TEXT(A223,"MMMM YYYY"))</f>
        <v/>
      </c>
      <c r="K223" s="12">
        <f>IF(A223="","",WEEKNUM(A223))</f>
        <v/>
      </c>
      <c r="L223" s="12">
        <f>IF(A223="","",MONTH(A223))</f>
        <v/>
      </c>
      <c r="M223" s="12">
        <f>IF(A223="","",YEAR(A223))</f>
        <v/>
      </c>
    </row>
    <row r="224">
      <c r="A224" s="43" t="n"/>
      <c r="B224" s="44" t="n"/>
      <c r="C224" s="44" t="n"/>
      <c r="D224" s="44" t="n"/>
      <c r="E224" s="72" t="n"/>
      <c r="F224" s="44" t="n"/>
      <c r="G224" s="44" t="n"/>
      <c r="H224" s="44" t="n"/>
      <c r="I224" s="44" t="n"/>
      <c r="J224" s="9">
        <f>IF(A224="","",TEXT(A224,"MMMM YYYY"))</f>
        <v/>
      </c>
      <c r="K224" s="9">
        <f>IF(A224="","",WEEKNUM(A224))</f>
        <v/>
      </c>
      <c r="L224" s="9">
        <f>IF(A224="","",MONTH(A224))</f>
        <v/>
      </c>
      <c r="M224" s="9">
        <f>IF(A224="","",YEAR(A224))</f>
        <v/>
      </c>
    </row>
    <row r="225">
      <c r="A225" s="47" t="n"/>
      <c r="B225" s="48" t="n"/>
      <c r="C225" s="48" t="n"/>
      <c r="D225" s="48" t="n"/>
      <c r="E225" s="73" t="n"/>
      <c r="F225" s="48" t="n"/>
      <c r="G225" s="48" t="n"/>
      <c r="H225" s="48" t="n"/>
      <c r="I225" s="48" t="n"/>
      <c r="J225" s="12">
        <f>IF(A225="","",TEXT(A225,"MMMM YYYY"))</f>
        <v/>
      </c>
      <c r="K225" s="12">
        <f>IF(A225="","",WEEKNUM(A225))</f>
        <v/>
      </c>
      <c r="L225" s="12">
        <f>IF(A225="","",MONTH(A225))</f>
        <v/>
      </c>
      <c r="M225" s="12">
        <f>IF(A225="","",YEAR(A225))</f>
        <v/>
      </c>
    </row>
    <row r="226">
      <c r="A226" s="43" t="n"/>
      <c r="B226" s="44" t="n"/>
      <c r="C226" s="44" t="n"/>
      <c r="D226" s="44" t="n"/>
      <c r="E226" s="72" t="n"/>
      <c r="F226" s="44" t="n"/>
      <c r="G226" s="44" t="n"/>
      <c r="H226" s="44" t="n"/>
      <c r="I226" s="44" t="n"/>
      <c r="J226" s="9">
        <f>IF(A226="","",TEXT(A226,"MMMM YYYY"))</f>
        <v/>
      </c>
      <c r="K226" s="9">
        <f>IF(A226="","",WEEKNUM(A226))</f>
        <v/>
      </c>
      <c r="L226" s="9">
        <f>IF(A226="","",MONTH(A226))</f>
        <v/>
      </c>
      <c r="M226" s="9">
        <f>IF(A226="","",YEAR(A226))</f>
        <v/>
      </c>
    </row>
    <row r="227">
      <c r="A227" s="47" t="n"/>
      <c r="B227" s="48" t="n"/>
      <c r="C227" s="48" t="n"/>
      <c r="D227" s="48" t="n"/>
      <c r="E227" s="73" t="n"/>
      <c r="F227" s="48" t="n"/>
      <c r="G227" s="48" t="n"/>
      <c r="H227" s="48" t="n"/>
      <c r="I227" s="48" t="n"/>
      <c r="J227" s="12">
        <f>IF(A227="","",TEXT(A227,"MMMM YYYY"))</f>
        <v/>
      </c>
      <c r="K227" s="12">
        <f>IF(A227="","",WEEKNUM(A227))</f>
        <v/>
      </c>
      <c r="L227" s="12">
        <f>IF(A227="","",MONTH(A227))</f>
        <v/>
      </c>
      <c r="M227" s="12">
        <f>IF(A227="","",YEAR(A227))</f>
        <v/>
      </c>
    </row>
    <row r="228">
      <c r="A228" s="43" t="n"/>
      <c r="B228" s="44" t="n"/>
      <c r="C228" s="44" t="n"/>
      <c r="D228" s="44" t="n"/>
      <c r="E228" s="72" t="n"/>
      <c r="F228" s="44" t="n"/>
      <c r="G228" s="44" t="n"/>
      <c r="H228" s="44" t="n"/>
      <c r="I228" s="44" t="n"/>
      <c r="J228" s="9">
        <f>IF(A228="","",TEXT(A228,"MMMM YYYY"))</f>
        <v/>
      </c>
      <c r="K228" s="9">
        <f>IF(A228="","",WEEKNUM(A228))</f>
        <v/>
      </c>
      <c r="L228" s="9">
        <f>IF(A228="","",MONTH(A228))</f>
        <v/>
      </c>
      <c r="M228" s="9">
        <f>IF(A228="","",YEAR(A228))</f>
        <v/>
      </c>
    </row>
    <row r="229">
      <c r="A229" s="47" t="n"/>
      <c r="B229" s="48" t="n"/>
      <c r="C229" s="48" t="n"/>
      <c r="D229" s="48" t="n"/>
      <c r="E229" s="73" t="n"/>
      <c r="F229" s="48" t="n"/>
      <c r="G229" s="48" t="n"/>
      <c r="H229" s="48" t="n"/>
      <c r="I229" s="48" t="n"/>
      <c r="J229" s="12">
        <f>IF(A229="","",TEXT(A229,"MMMM YYYY"))</f>
        <v/>
      </c>
      <c r="K229" s="12">
        <f>IF(A229="","",WEEKNUM(A229))</f>
        <v/>
      </c>
      <c r="L229" s="12">
        <f>IF(A229="","",MONTH(A229))</f>
        <v/>
      </c>
      <c r="M229" s="12">
        <f>IF(A229="","",YEAR(A229))</f>
        <v/>
      </c>
    </row>
    <row r="230">
      <c r="A230" s="43" t="n"/>
      <c r="B230" s="44" t="n"/>
      <c r="C230" s="44" t="n"/>
      <c r="D230" s="44" t="n"/>
      <c r="E230" s="72" t="n"/>
      <c r="F230" s="44" t="n"/>
      <c r="G230" s="44" t="n"/>
      <c r="H230" s="44" t="n"/>
      <c r="I230" s="44" t="n"/>
      <c r="J230" s="9">
        <f>IF(A230="","",TEXT(A230,"MMMM YYYY"))</f>
        <v/>
      </c>
      <c r="K230" s="9">
        <f>IF(A230="","",WEEKNUM(A230))</f>
        <v/>
      </c>
      <c r="L230" s="9">
        <f>IF(A230="","",MONTH(A230))</f>
        <v/>
      </c>
      <c r="M230" s="9">
        <f>IF(A230="","",YEAR(A230))</f>
        <v/>
      </c>
    </row>
    <row r="231">
      <c r="A231" s="47" t="n"/>
      <c r="B231" s="48" t="n"/>
      <c r="C231" s="48" t="n"/>
      <c r="D231" s="48" t="n"/>
      <c r="E231" s="73" t="n"/>
      <c r="F231" s="48" t="n"/>
      <c r="G231" s="48" t="n"/>
      <c r="H231" s="48" t="n"/>
      <c r="I231" s="48" t="n"/>
      <c r="J231" s="12">
        <f>IF(A231="","",TEXT(A231,"MMMM YYYY"))</f>
        <v/>
      </c>
      <c r="K231" s="12">
        <f>IF(A231="","",WEEKNUM(A231))</f>
        <v/>
      </c>
      <c r="L231" s="12">
        <f>IF(A231="","",MONTH(A231))</f>
        <v/>
      </c>
      <c r="M231" s="12">
        <f>IF(A231="","",YEAR(A231))</f>
        <v/>
      </c>
    </row>
    <row r="232">
      <c r="A232" s="43" t="n"/>
      <c r="B232" s="44" t="n"/>
      <c r="C232" s="44" t="n"/>
      <c r="D232" s="44" t="n"/>
      <c r="E232" s="72" t="n"/>
      <c r="F232" s="44" t="n"/>
      <c r="G232" s="44" t="n"/>
      <c r="H232" s="44" t="n"/>
      <c r="I232" s="44" t="n"/>
      <c r="J232" s="9">
        <f>IF(A232="","",TEXT(A232,"MMMM YYYY"))</f>
        <v/>
      </c>
      <c r="K232" s="9">
        <f>IF(A232="","",WEEKNUM(A232))</f>
        <v/>
      </c>
      <c r="L232" s="9">
        <f>IF(A232="","",MONTH(A232))</f>
        <v/>
      </c>
      <c r="M232" s="9">
        <f>IF(A232="","",YEAR(A232))</f>
        <v/>
      </c>
    </row>
    <row r="233">
      <c r="A233" s="47" t="n"/>
      <c r="B233" s="48" t="n"/>
      <c r="C233" s="48" t="n"/>
      <c r="D233" s="48" t="n"/>
      <c r="E233" s="73" t="n"/>
      <c r="F233" s="48" t="n"/>
      <c r="G233" s="48" t="n"/>
      <c r="H233" s="48" t="n"/>
      <c r="I233" s="48" t="n"/>
      <c r="J233" s="12">
        <f>IF(A233="","",TEXT(A233,"MMMM YYYY"))</f>
        <v/>
      </c>
      <c r="K233" s="12">
        <f>IF(A233="","",WEEKNUM(A233))</f>
        <v/>
      </c>
      <c r="L233" s="12">
        <f>IF(A233="","",MONTH(A233))</f>
        <v/>
      </c>
      <c r="M233" s="12">
        <f>IF(A233="","",YEAR(A233))</f>
        <v/>
      </c>
    </row>
    <row r="234">
      <c r="A234" s="43" t="n"/>
      <c r="B234" s="44" t="n"/>
      <c r="C234" s="44" t="n"/>
      <c r="D234" s="44" t="n"/>
      <c r="E234" s="72" t="n"/>
      <c r="F234" s="44" t="n"/>
      <c r="G234" s="44" t="n"/>
      <c r="H234" s="44" t="n"/>
      <c r="I234" s="44" t="n"/>
      <c r="J234" s="9">
        <f>IF(A234="","",TEXT(A234,"MMMM YYYY"))</f>
        <v/>
      </c>
      <c r="K234" s="9">
        <f>IF(A234="","",WEEKNUM(A234))</f>
        <v/>
      </c>
      <c r="L234" s="9">
        <f>IF(A234="","",MONTH(A234))</f>
        <v/>
      </c>
      <c r="M234" s="9">
        <f>IF(A234="","",YEAR(A234))</f>
        <v/>
      </c>
    </row>
    <row r="235">
      <c r="A235" s="47" t="n"/>
      <c r="B235" s="48" t="n"/>
      <c r="C235" s="48" t="n"/>
      <c r="D235" s="48" t="n"/>
      <c r="E235" s="73" t="n"/>
      <c r="F235" s="48" t="n"/>
      <c r="G235" s="48" t="n"/>
      <c r="H235" s="48" t="n"/>
      <c r="I235" s="48" t="n"/>
      <c r="J235" s="12">
        <f>IF(A235="","",TEXT(A235,"MMMM YYYY"))</f>
        <v/>
      </c>
      <c r="K235" s="12">
        <f>IF(A235="","",WEEKNUM(A235))</f>
        <v/>
      </c>
      <c r="L235" s="12">
        <f>IF(A235="","",MONTH(A235))</f>
        <v/>
      </c>
      <c r="M235" s="12">
        <f>IF(A235="","",YEAR(A235))</f>
        <v/>
      </c>
    </row>
    <row r="236">
      <c r="A236" s="43" t="n"/>
      <c r="B236" s="44" t="n"/>
      <c r="C236" s="44" t="n"/>
      <c r="D236" s="44" t="n"/>
      <c r="E236" s="72" t="n"/>
      <c r="F236" s="44" t="n"/>
      <c r="G236" s="44" t="n"/>
      <c r="H236" s="44" t="n"/>
      <c r="I236" s="44" t="n"/>
      <c r="J236" s="9">
        <f>IF(A236="","",TEXT(A236,"MMMM YYYY"))</f>
        <v/>
      </c>
      <c r="K236" s="9">
        <f>IF(A236="","",WEEKNUM(A236))</f>
        <v/>
      </c>
      <c r="L236" s="9">
        <f>IF(A236="","",MONTH(A236))</f>
        <v/>
      </c>
      <c r="M236" s="9">
        <f>IF(A236="","",YEAR(A236))</f>
        <v/>
      </c>
    </row>
    <row r="237">
      <c r="A237" s="47" t="n"/>
      <c r="B237" s="48" t="n"/>
      <c r="C237" s="48" t="n"/>
      <c r="D237" s="48" t="n"/>
      <c r="E237" s="73" t="n"/>
      <c r="F237" s="48" t="n"/>
      <c r="G237" s="48" t="n"/>
      <c r="H237" s="48" t="n"/>
      <c r="I237" s="48" t="n"/>
      <c r="J237" s="12">
        <f>IF(A237="","",TEXT(A237,"MMMM YYYY"))</f>
        <v/>
      </c>
      <c r="K237" s="12">
        <f>IF(A237="","",WEEKNUM(A237))</f>
        <v/>
      </c>
      <c r="L237" s="12">
        <f>IF(A237="","",MONTH(A237))</f>
        <v/>
      </c>
      <c r="M237" s="12">
        <f>IF(A237="","",YEAR(A237))</f>
        <v/>
      </c>
    </row>
    <row r="238">
      <c r="A238" s="43" t="n"/>
      <c r="B238" s="44" t="n"/>
      <c r="C238" s="44" t="n"/>
      <c r="D238" s="44" t="n"/>
      <c r="E238" s="72" t="n"/>
      <c r="F238" s="44" t="n"/>
      <c r="G238" s="44" t="n"/>
      <c r="H238" s="44" t="n"/>
      <c r="I238" s="44" t="n"/>
      <c r="J238" s="9">
        <f>IF(A238="","",TEXT(A238,"MMMM YYYY"))</f>
        <v/>
      </c>
      <c r="K238" s="9">
        <f>IF(A238="","",WEEKNUM(A238))</f>
        <v/>
      </c>
      <c r="L238" s="9">
        <f>IF(A238="","",MONTH(A238))</f>
        <v/>
      </c>
      <c r="M238" s="9">
        <f>IF(A238="","",YEAR(A238))</f>
        <v/>
      </c>
    </row>
    <row r="239">
      <c r="A239" s="47" t="n"/>
      <c r="B239" s="48" t="n"/>
      <c r="C239" s="48" t="n"/>
      <c r="D239" s="48" t="n"/>
      <c r="E239" s="73" t="n"/>
      <c r="F239" s="48" t="n"/>
      <c r="G239" s="48" t="n"/>
      <c r="H239" s="48" t="n"/>
      <c r="I239" s="48" t="n"/>
      <c r="J239" s="12">
        <f>IF(A239="","",TEXT(A239,"MMMM YYYY"))</f>
        <v/>
      </c>
      <c r="K239" s="12">
        <f>IF(A239="","",WEEKNUM(A239))</f>
        <v/>
      </c>
      <c r="L239" s="12">
        <f>IF(A239="","",MONTH(A239))</f>
        <v/>
      </c>
      <c r="M239" s="12">
        <f>IF(A239="","",YEAR(A239))</f>
        <v/>
      </c>
    </row>
    <row r="240">
      <c r="A240" s="43" t="n"/>
      <c r="B240" s="44" t="n"/>
      <c r="C240" s="44" t="n"/>
      <c r="D240" s="44" t="n"/>
      <c r="E240" s="72" t="n"/>
      <c r="F240" s="44" t="n"/>
      <c r="G240" s="44" t="n"/>
      <c r="H240" s="44" t="n"/>
      <c r="I240" s="44" t="n"/>
      <c r="J240" s="9">
        <f>IF(A240="","",TEXT(A240,"MMMM YYYY"))</f>
        <v/>
      </c>
      <c r="K240" s="9">
        <f>IF(A240="","",WEEKNUM(A240))</f>
        <v/>
      </c>
      <c r="L240" s="9">
        <f>IF(A240="","",MONTH(A240))</f>
        <v/>
      </c>
      <c r="M240" s="9">
        <f>IF(A240="","",YEAR(A240))</f>
        <v/>
      </c>
    </row>
    <row r="241">
      <c r="A241" s="47" t="n"/>
      <c r="B241" s="48" t="n"/>
      <c r="C241" s="48" t="n"/>
      <c r="D241" s="48" t="n"/>
      <c r="E241" s="73" t="n"/>
      <c r="F241" s="48" t="n"/>
      <c r="G241" s="48" t="n"/>
      <c r="H241" s="48" t="n"/>
      <c r="I241" s="48" t="n"/>
      <c r="J241" s="12">
        <f>IF(A241="","",TEXT(A241,"MMMM YYYY"))</f>
        <v/>
      </c>
      <c r="K241" s="12">
        <f>IF(A241="","",WEEKNUM(A241))</f>
        <v/>
      </c>
      <c r="L241" s="12">
        <f>IF(A241="","",MONTH(A241))</f>
        <v/>
      </c>
      <c r="M241" s="12">
        <f>IF(A241="","",YEAR(A241))</f>
        <v/>
      </c>
    </row>
    <row r="242">
      <c r="A242" s="43" t="n"/>
      <c r="B242" s="44" t="n"/>
      <c r="C242" s="44" t="n"/>
      <c r="D242" s="44" t="n"/>
      <c r="E242" s="72" t="n"/>
      <c r="F242" s="44" t="n"/>
      <c r="G242" s="44" t="n"/>
      <c r="H242" s="44" t="n"/>
      <c r="I242" s="44" t="n"/>
      <c r="J242" s="9">
        <f>IF(A242="","",TEXT(A242,"MMMM YYYY"))</f>
        <v/>
      </c>
      <c r="K242" s="9">
        <f>IF(A242="","",WEEKNUM(A242))</f>
        <v/>
      </c>
      <c r="L242" s="9">
        <f>IF(A242="","",MONTH(A242))</f>
        <v/>
      </c>
      <c r="M242" s="9">
        <f>IF(A242="","",YEAR(A242))</f>
        <v/>
      </c>
    </row>
    <row r="243">
      <c r="A243" s="47" t="n"/>
      <c r="B243" s="48" t="n"/>
      <c r="C243" s="48" t="n"/>
      <c r="D243" s="48" t="n"/>
      <c r="E243" s="73" t="n"/>
      <c r="F243" s="48" t="n"/>
      <c r="G243" s="48" t="n"/>
      <c r="H243" s="48" t="n"/>
      <c r="I243" s="48" t="n"/>
      <c r="J243" s="12">
        <f>IF(A243="","",TEXT(A243,"MMMM YYYY"))</f>
        <v/>
      </c>
      <c r="K243" s="12">
        <f>IF(A243="","",WEEKNUM(A243))</f>
        <v/>
      </c>
      <c r="L243" s="12">
        <f>IF(A243="","",MONTH(A243))</f>
        <v/>
      </c>
      <c r="M243" s="12">
        <f>IF(A243="","",YEAR(A243))</f>
        <v/>
      </c>
    </row>
    <row r="244">
      <c r="A244" s="43" t="n"/>
      <c r="B244" s="44" t="n"/>
      <c r="C244" s="44" t="n"/>
      <c r="D244" s="44" t="n"/>
      <c r="E244" s="72" t="n"/>
      <c r="F244" s="44" t="n"/>
      <c r="G244" s="44" t="n"/>
      <c r="H244" s="44" t="n"/>
      <c r="I244" s="44" t="n"/>
      <c r="J244" s="9">
        <f>IF(A244="","",TEXT(A244,"MMMM YYYY"))</f>
        <v/>
      </c>
      <c r="K244" s="9">
        <f>IF(A244="","",WEEKNUM(A244))</f>
        <v/>
      </c>
      <c r="L244" s="9">
        <f>IF(A244="","",MONTH(A244))</f>
        <v/>
      </c>
      <c r="M244" s="9">
        <f>IF(A244="","",YEAR(A244))</f>
        <v/>
      </c>
    </row>
    <row r="245">
      <c r="A245" s="47" t="n"/>
      <c r="B245" s="48" t="n"/>
      <c r="C245" s="48" t="n"/>
      <c r="D245" s="48" t="n"/>
      <c r="E245" s="73" t="n"/>
      <c r="F245" s="48" t="n"/>
      <c r="G245" s="48" t="n"/>
      <c r="H245" s="48" t="n"/>
      <c r="I245" s="48" t="n"/>
      <c r="J245" s="12">
        <f>IF(A245="","",TEXT(A245,"MMMM YYYY"))</f>
        <v/>
      </c>
      <c r="K245" s="12">
        <f>IF(A245="","",WEEKNUM(A245))</f>
        <v/>
      </c>
      <c r="L245" s="12">
        <f>IF(A245="","",MONTH(A245))</f>
        <v/>
      </c>
      <c r="M245" s="12">
        <f>IF(A245="","",YEAR(A245))</f>
        <v/>
      </c>
    </row>
    <row r="246">
      <c r="A246" s="43" t="n"/>
      <c r="B246" s="44" t="n"/>
      <c r="C246" s="44" t="n"/>
      <c r="D246" s="44" t="n"/>
      <c r="E246" s="72" t="n"/>
      <c r="F246" s="44" t="n"/>
      <c r="G246" s="44" t="n"/>
      <c r="H246" s="44" t="n"/>
      <c r="I246" s="44" t="n"/>
      <c r="J246" s="9">
        <f>IF(A246="","",TEXT(A246,"MMMM YYYY"))</f>
        <v/>
      </c>
      <c r="K246" s="9">
        <f>IF(A246="","",WEEKNUM(A246))</f>
        <v/>
      </c>
      <c r="L246" s="9">
        <f>IF(A246="","",MONTH(A246))</f>
        <v/>
      </c>
      <c r="M246" s="9">
        <f>IF(A246="","",YEAR(A246))</f>
        <v/>
      </c>
    </row>
    <row r="247">
      <c r="A247" s="47" t="n"/>
      <c r="B247" s="48" t="n"/>
      <c r="C247" s="48" t="n"/>
      <c r="D247" s="48" t="n"/>
      <c r="E247" s="73" t="n"/>
      <c r="F247" s="48" t="n"/>
      <c r="G247" s="48" t="n"/>
      <c r="H247" s="48" t="n"/>
      <c r="I247" s="48" t="n"/>
      <c r="J247" s="12">
        <f>IF(A247="","",TEXT(A247,"MMMM YYYY"))</f>
        <v/>
      </c>
      <c r="K247" s="12">
        <f>IF(A247="","",WEEKNUM(A247))</f>
        <v/>
      </c>
      <c r="L247" s="12">
        <f>IF(A247="","",MONTH(A247))</f>
        <v/>
      </c>
      <c r="M247" s="12">
        <f>IF(A247="","",YEAR(A247))</f>
        <v/>
      </c>
    </row>
    <row r="248">
      <c r="A248" s="43" t="n"/>
      <c r="B248" s="44" t="n"/>
      <c r="C248" s="44" t="n"/>
      <c r="D248" s="44" t="n"/>
      <c r="E248" s="72" t="n"/>
      <c r="F248" s="44" t="n"/>
      <c r="G248" s="44" t="n"/>
      <c r="H248" s="44" t="n"/>
      <c r="I248" s="44" t="n"/>
      <c r="J248" s="9">
        <f>IF(A248="","",TEXT(A248,"MMMM YYYY"))</f>
        <v/>
      </c>
      <c r="K248" s="9">
        <f>IF(A248="","",WEEKNUM(A248))</f>
        <v/>
      </c>
      <c r="L248" s="9">
        <f>IF(A248="","",MONTH(A248))</f>
        <v/>
      </c>
      <c r="M248" s="9">
        <f>IF(A248="","",YEAR(A248))</f>
        <v/>
      </c>
    </row>
    <row r="249">
      <c r="A249" s="47" t="n"/>
      <c r="B249" s="48" t="n"/>
      <c r="C249" s="48" t="n"/>
      <c r="D249" s="48" t="n"/>
      <c r="E249" s="73" t="n"/>
      <c r="F249" s="48" t="n"/>
      <c r="G249" s="48" t="n"/>
      <c r="H249" s="48" t="n"/>
      <c r="I249" s="48" t="n"/>
      <c r="J249" s="12">
        <f>IF(A249="","",TEXT(A249,"MMMM YYYY"))</f>
        <v/>
      </c>
      <c r="K249" s="12">
        <f>IF(A249="","",WEEKNUM(A249))</f>
        <v/>
      </c>
      <c r="L249" s="12">
        <f>IF(A249="","",MONTH(A249))</f>
        <v/>
      </c>
      <c r="M249" s="12">
        <f>IF(A249="","",YEAR(A249))</f>
        <v/>
      </c>
    </row>
    <row r="250">
      <c r="A250" s="43" t="n"/>
      <c r="B250" s="44" t="n"/>
      <c r="C250" s="44" t="n"/>
      <c r="D250" s="44" t="n"/>
      <c r="E250" s="72" t="n"/>
      <c r="F250" s="44" t="n"/>
      <c r="G250" s="44" t="n"/>
      <c r="H250" s="44" t="n"/>
      <c r="I250" s="44" t="n"/>
      <c r="J250" s="9">
        <f>IF(A250="","",TEXT(A250,"MMMM YYYY"))</f>
        <v/>
      </c>
      <c r="K250" s="9">
        <f>IF(A250="","",WEEKNUM(A250))</f>
        <v/>
      </c>
      <c r="L250" s="9">
        <f>IF(A250="","",MONTH(A250))</f>
        <v/>
      </c>
      <c r="M250" s="9">
        <f>IF(A250="","",YEAR(A250))</f>
        <v/>
      </c>
    </row>
    <row r="251">
      <c r="A251" s="47" t="n"/>
      <c r="B251" s="48" t="n"/>
      <c r="C251" s="48" t="n"/>
      <c r="D251" s="48" t="n"/>
      <c r="E251" s="73" t="n"/>
      <c r="F251" s="48" t="n"/>
      <c r="G251" s="48" t="n"/>
      <c r="H251" s="48" t="n"/>
      <c r="I251" s="48" t="n"/>
      <c r="J251" s="12">
        <f>IF(A251="","",TEXT(A251,"MMMM YYYY"))</f>
        <v/>
      </c>
      <c r="K251" s="12">
        <f>IF(A251="","",WEEKNUM(A251))</f>
        <v/>
      </c>
      <c r="L251" s="12">
        <f>IF(A251="","",MONTH(A251))</f>
        <v/>
      </c>
      <c r="M251" s="12">
        <f>IF(A251="","",YEAR(A251))</f>
        <v/>
      </c>
    </row>
    <row r="252">
      <c r="A252" s="43" t="n"/>
      <c r="B252" s="44" t="n"/>
      <c r="C252" s="44" t="n"/>
      <c r="D252" s="44" t="n"/>
      <c r="E252" s="72" t="n"/>
      <c r="F252" s="44" t="n"/>
      <c r="G252" s="44" t="n"/>
      <c r="H252" s="44" t="n"/>
      <c r="I252" s="44" t="n"/>
      <c r="J252" s="9">
        <f>IF(A252="","",TEXT(A252,"MMMM YYYY"))</f>
        <v/>
      </c>
      <c r="K252" s="9">
        <f>IF(A252="","",WEEKNUM(A252))</f>
        <v/>
      </c>
      <c r="L252" s="9">
        <f>IF(A252="","",MONTH(A252))</f>
        <v/>
      </c>
      <c r="M252" s="9">
        <f>IF(A252="","",YEAR(A252))</f>
        <v/>
      </c>
    </row>
    <row r="253">
      <c r="A253" s="47" t="n"/>
      <c r="B253" s="48" t="n"/>
      <c r="C253" s="48" t="n"/>
      <c r="D253" s="48" t="n"/>
      <c r="E253" s="73" t="n"/>
      <c r="F253" s="48" t="n"/>
      <c r="G253" s="48" t="n"/>
      <c r="H253" s="48" t="n"/>
      <c r="I253" s="48" t="n"/>
      <c r="J253" s="12">
        <f>IF(A253="","",TEXT(A253,"MMMM YYYY"))</f>
        <v/>
      </c>
      <c r="K253" s="12">
        <f>IF(A253="","",WEEKNUM(A253))</f>
        <v/>
      </c>
      <c r="L253" s="12">
        <f>IF(A253="","",MONTH(A253))</f>
        <v/>
      </c>
      <c r="M253" s="12">
        <f>IF(A253="","",YEAR(A253))</f>
        <v/>
      </c>
    </row>
    <row r="254">
      <c r="A254" s="43" t="n"/>
      <c r="B254" s="44" t="n"/>
      <c r="C254" s="44" t="n"/>
      <c r="D254" s="44" t="n"/>
      <c r="E254" s="72" t="n"/>
      <c r="F254" s="44" t="n"/>
      <c r="G254" s="44" t="n"/>
      <c r="H254" s="44" t="n"/>
      <c r="I254" s="44" t="n"/>
      <c r="J254" s="9">
        <f>IF(A254="","",TEXT(A254,"MMMM YYYY"))</f>
        <v/>
      </c>
      <c r="K254" s="9">
        <f>IF(A254="","",WEEKNUM(A254))</f>
        <v/>
      </c>
      <c r="L254" s="9">
        <f>IF(A254="","",MONTH(A254))</f>
        <v/>
      </c>
      <c r="M254" s="9">
        <f>IF(A254="","",YEAR(A254))</f>
        <v/>
      </c>
    </row>
    <row r="255">
      <c r="A255" s="47" t="n"/>
      <c r="B255" s="48" t="n"/>
      <c r="C255" s="48" t="n"/>
      <c r="D255" s="48" t="n"/>
      <c r="E255" s="73" t="n"/>
      <c r="F255" s="48" t="n"/>
      <c r="G255" s="48" t="n"/>
      <c r="H255" s="48" t="n"/>
      <c r="I255" s="48" t="n"/>
      <c r="J255" s="12">
        <f>IF(A255="","",TEXT(A255,"MMMM YYYY"))</f>
        <v/>
      </c>
      <c r="K255" s="12">
        <f>IF(A255="","",WEEKNUM(A255))</f>
        <v/>
      </c>
      <c r="L255" s="12">
        <f>IF(A255="","",MONTH(A255))</f>
        <v/>
      </c>
      <c r="M255" s="12">
        <f>IF(A255="","",YEAR(A255))</f>
        <v/>
      </c>
    </row>
    <row r="256">
      <c r="A256" s="43" t="n"/>
      <c r="B256" s="44" t="n"/>
      <c r="C256" s="44" t="n"/>
      <c r="D256" s="44" t="n"/>
      <c r="E256" s="72" t="n"/>
      <c r="F256" s="44" t="n"/>
      <c r="G256" s="44" t="n"/>
      <c r="H256" s="44" t="n"/>
      <c r="I256" s="44" t="n"/>
      <c r="J256" s="9">
        <f>IF(A256="","",TEXT(A256,"MMMM YYYY"))</f>
        <v/>
      </c>
      <c r="K256" s="9">
        <f>IF(A256="","",WEEKNUM(A256))</f>
        <v/>
      </c>
      <c r="L256" s="9">
        <f>IF(A256="","",MONTH(A256))</f>
        <v/>
      </c>
      <c r="M256" s="9">
        <f>IF(A256="","",YEAR(A256))</f>
        <v/>
      </c>
    </row>
    <row r="257">
      <c r="A257" s="47" t="n"/>
      <c r="B257" s="48" t="n"/>
      <c r="C257" s="48" t="n"/>
      <c r="D257" s="48" t="n"/>
      <c r="E257" s="73" t="n"/>
      <c r="F257" s="48" t="n"/>
      <c r="G257" s="48" t="n"/>
      <c r="H257" s="48" t="n"/>
      <c r="I257" s="48" t="n"/>
      <c r="J257" s="12">
        <f>IF(A257="","",TEXT(A257,"MMMM YYYY"))</f>
        <v/>
      </c>
      <c r="K257" s="12">
        <f>IF(A257="","",WEEKNUM(A257))</f>
        <v/>
      </c>
      <c r="L257" s="12">
        <f>IF(A257="","",MONTH(A257))</f>
        <v/>
      </c>
      <c r="M257" s="12">
        <f>IF(A257="","",YEAR(A257))</f>
        <v/>
      </c>
    </row>
    <row r="258">
      <c r="A258" s="43" t="n"/>
      <c r="B258" s="44" t="n"/>
      <c r="C258" s="44" t="n"/>
      <c r="D258" s="44" t="n"/>
      <c r="E258" s="72" t="n"/>
      <c r="F258" s="44" t="n"/>
      <c r="G258" s="44" t="n"/>
      <c r="H258" s="44" t="n"/>
      <c r="I258" s="44" t="n"/>
      <c r="J258" s="9">
        <f>IF(A258="","",TEXT(A258,"MMMM YYYY"))</f>
        <v/>
      </c>
      <c r="K258" s="9">
        <f>IF(A258="","",WEEKNUM(A258))</f>
        <v/>
      </c>
      <c r="L258" s="9">
        <f>IF(A258="","",MONTH(A258))</f>
        <v/>
      </c>
      <c r="M258" s="9">
        <f>IF(A258="","",YEAR(A258))</f>
        <v/>
      </c>
    </row>
    <row r="259">
      <c r="A259" s="47" t="n"/>
      <c r="B259" s="48" t="n"/>
      <c r="C259" s="48" t="n"/>
      <c r="D259" s="48" t="n"/>
      <c r="E259" s="73" t="n"/>
      <c r="F259" s="48" t="n"/>
      <c r="G259" s="48" t="n"/>
      <c r="H259" s="48" t="n"/>
      <c r="I259" s="48" t="n"/>
      <c r="J259" s="12">
        <f>IF(A259="","",TEXT(A259,"MMMM YYYY"))</f>
        <v/>
      </c>
      <c r="K259" s="12">
        <f>IF(A259="","",WEEKNUM(A259))</f>
        <v/>
      </c>
      <c r="L259" s="12">
        <f>IF(A259="","",MONTH(A259))</f>
        <v/>
      </c>
      <c r="M259" s="12">
        <f>IF(A259="","",YEAR(A259))</f>
        <v/>
      </c>
    </row>
    <row r="260">
      <c r="A260" s="43" t="n"/>
      <c r="B260" s="44" t="n"/>
      <c r="C260" s="44" t="n"/>
      <c r="D260" s="44" t="n"/>
      <c r="E260" s="72" t="n"/>
      <c r="F260" s="44" t="n"/>
      <c r="G260" s="44" t="n"/>
      <c r="H260" s="44" t="n"/>
      <c r="I260" s="44" t="n"/>
      <c r="J260" s="9">
        <f>IF(A260="","",TEXT(A260,"MMMM YYYY"))</f>
        <v/>
      </c>
      <c r="K260" s="9">
        <f>IF(A260="","",WEEKNUM(A260))</f>
        <v/>
      </c>
      <c r="L260" s="9">
        <f>IF(A260="","",MONTH(A260))</f>
        <v/>
      </c>
      <c r="M260" s="9">
        <f>IF(A260="","",YEAR(A260))</f>
        <v/>
      </c>
    </row>
    <row r="261">
      <c r="A261" s="47" t="n"/>
      <c r="B261" s="48" t="n"/>
      <c r="C261" s="48" t="n"/>
      <c r="D261" s="48" t="n"/>
      <c r="E261" s="73" t="n"/>
      <c r="F261" s="48" t="n"/>
      <c r="G261" s="48" t="n"/>
      <c r="H261" s="48" t="n"/>
      <c r="I261" s="48" t="n"/>
      <c r="J261" s="12">
        <f>IF(A261="","",TEXT(A261,"MMMM YYYY"))</f>
        <v/>
      </c>
      <c r="K261" s="12">
        <f>IF(A261="","",WEEKNUM(A261))</f>
        <v/>
      </c>
      <c r="L261" s="12">
        <f>IF(A261="","",MONTH(A261))</f>
        <v/>
      </c>
      <c r="M261" s="12">
        <f>IF(A261="","",YEAR(A261))</f>
        <v/>
      </c>
    </row>
    <row r="262">
      <c r="A262" s="43" t="n"/>
      <c r="B262" s="44" t="n"/>
      <c r="C262" s="44" t="n"/>
      <c r="D262" s="44" t="n"/>
      <c r="E262" s="72" t="n"/>
      <c r="F262" s="44" t="n"/>
      <c r="G262" s="44" t="n"/>
      <c r="H262" s="44" t="n"/>
      <c r="I262" s="44" t="n"/>
      <c r="J262" s="9">
        <f>IF(A262="","",TEXT(A262,"MMMM YYYY"))</f>
        <v/>
      </c>
      <c r="K262" s="9">
        <f>IF(A262="","",WEEKNUM(A262))</f>
        <v/>
      </c>
      <c r="L262" s="9">
        <f>IF(A262="","",MONTH(A262))</f>
        <v/>
      </c>
      <c r="M262" s="9">
        <f>IF(A262="","",YEAR(A262))</f>
        <v/>
      </c>
    </row>
    <row r="263">
      <c r="A263" s="47" t="n"/>
      <c r="B263" s="48" t="n"/>
      <c r="C263" s="48" t="n"/>
      <c r="D263" s="48" t="n"/>
      <c r="E263" s="73" t="n"/>
      <c r="F263" s="48" t="n"/>
      <c r="G263" s="48" t="n"/>
      <c r="H263" s="48" t="n"/>
      <c r="I263" s="48" t="n"/>
      <c r="J263" s="12">
        <f>IF(A263="","",TEXT(A263,"MMMM YYYY"))</f>
        <v/>
      </c>
      <c r="K263" s="12">
        <f>IF(A263="","",WEEKNUM(A263))</f>
        <v/>
      </c>
      <c r="L263" s="12">
        <f>IF(A263="","",MONTH(A263))</f>
        <v/>
      </c>
      <c r="M263" s="12">
        <f>IF(A263="","",YEAR(A263))</f>
        <v/>
      </c>
    </row>
    <row r="264">
      <c r="A264" s="43" t="n"/>
      <c r="B264" s="44" t="n"/>
      <c r="C264" s="44" t="n"/>
      <c r="D264" s="44" t="n"/>
      <c r="E264" s="72" t="n"/>
      <c r="F264" s="44" t="n"/>
      <c r="G264" s="44" t="n"/>
      <c r="H264" s="44" t="n"/>
      <c r="I264" s="44" t="n"/>
      <c r="J264" s="9">
        <f>IF(A264="","",TEXT(A264,"MMMM YYYY"))</f>
        <v/>
      </c>
      <c r="K264" s="9">
        <f>IF(A264="","",WEEKNUM(A264))</f>
        <v/>
      </c>
      <c r="L264" s="9">
        <f>IF(A264="","",MONTH(A264))</f>
        <v/>
      </c>
      <c r="M264" s="9">
        <f>IF(A264="","",YEAR(A264))</f>
        <v/>
      </c>
    </row>
    <row r="265">
      <c r="A265" s="47" t="n"/>
      <c r="B265" s="48" t="n"/>
      <c r="C265" s="48" t="n"/>
      <c r="D265" s="48" t="n"/>
      <c r="E265" s="73" t="n"/>
      <c r="F265" s="48" t="n"/>
      <c r="G265" s="48" t="n"/>
      <c r="H265" s="48" t="n"/>
      <c r="I265" s="48" t="n"/>
      <c r="J265" s="12">
        <f>IF(A265="","",TEXT(A265,"MMMM YYYY"))</f>
        <v/>
      </c>
      <c r="K265" s="12">
        <f>IF(A265="","",WEEKNUM(A265))</f>
        <v/>
      </c>
      <c r="L265" s="12">
        <f>IF(A265="","",MONTH(A265))</f>
        <v/>
      </c>
      <c r="M265" s="12">
        <f>IF(A265="","",YEAR(A265))</f>
        <v/>
      </c>
    </row>
    <row r="266">
      <c r="A266" s="43" t="n"/>
      <c r="B266" s="44" t="n"/>
      <c r="C266" s="44" t="n"/>
      <c r="D266" s="44" t="n"/>
      <c r="E266" s="72" t="n"/>
      <c r="F266" s="44" t="n"/>
      <c r="G266" s="44" t="n"/>
      <c r="H266" s="44" t="n"/>
      <c r="I266" s="44" t="n"/>
      <c r="J266" s="9">
        <f>IF(A266="","",TEXT(A266,"MMMM YYYY"))</f>
        <v/>
      </c>
      <c r="K266" s="9">
        <f>IF(A266="","",WEEKNUM(A266))</f>
        <v/>
      </c>
      <c r="L266" s="9">
        <f>IF(A266="","",MONTH(A266))</f>
        <v/>
      </c>
      <c r="M266" s="9">
        <f>IF(A266="","",YEAR(A266))</f>
        <v/>
      </c>
    </row>
    <row r="267">
      <c r="A267" s="47" t="n"/>
      <c r="B267" s="48" t="n"/>
      <c r="C267" s="48" t="n"/>
      <c r="D267" s="48" t="n"/>
      <c r="E267" s="73" t="n"/>
      <c r="F267" s="48" t="n"/>
      <c r="G267" s="48" t="n"/>
      <c r="H267" s="48" t="n"/>
      <c r="I267" s="48" t="n"/>
      <c r="J267" s="12">
        <f>IF(A267="","",TEXT(A267,"MMMM YYYY"))</f>
        <v/>
      </c>
      <c r="K267" s="12">
        <f>IF(A267="","",WEEKNUM(A267))</f>
        <v/>
      </c>
      <c r="L267" s="12">
        <f>IF(A267="","",MONTH(A267))</f>
        <v/>
      </c>
      <c r="M267" s="12">
        <f>IF(A267="","",YEAR(A267))</f>
        <v/>
      </c>
    </row>
    <row r="268">
      <c r="A268" s="43" t="n"/>
      <c r="B268" s="44" t="n"/>
      <c r="C268" s="44" t="n"/>
      <c r="D268" s="44" t="n"/>
      <c r="E268" s="72" t="n"/>
      <c r="F268" s="44" t="n"/>
      <c r="G268" s="44" t="n"/>
      <c r="H268" s="44" t="n"/>
      <c r="I268" s="44" t="n"/>
      <c r="J268" s="9">
        <f>IF(A268="","",TEXT(A268,"MMMM YYYY"))</f>
        <v/>
      </c>
      <c r="K268" s="9">
        <f>IF(A268="","",WEEKNUM(A268))</f>
        <v/>
      </c>
      <c r="L268" s="9">
        <f>IF(A268="","",MONTH(A268))</f>
        <v/>
      </c>
      <c r="M268" s="9">
        <f>IF(A268="","",YEAR(A268))</f>
        <v/>
      </c>
    </row>
    <row r="269">
      <c r="A269" s="47" t="n"/>
      <c r="B269" s="48" t="n"/>
      <c r="C269" s="48" t="n"/>
      <c r="D269" s="48" t="n"/>
      <c r="E269" s="73" t="n"/>
      <c r="F269" s="48" t="n"/>
      <c r="G269" s="48" t="n"/>
      <c r="H269" s="48" t="n"/>
      <c r="I269" s="48" t="n"/>
      <c r="J269" s="12">
        <f>IF(A269="","",TEXT(A269,"MMMM YYYY"))</f>
        <v/>
      </c>
      <c r="K269" s="12">
        <f>IF(A269="","",WEEKNUM(A269))</f>
        <v/>
      </c>
      <c r="L269" s="12">
        <f>IF(A269="","",MONTH(A269))</f>
        <v/>
      </c>
      <c r="M269" s="12">
        <f>IF(A269="","",YEAR(A269))</f>
        <v/>
      </c>
    </row>
    <row r="270">
      <c r="A270" s="43" t="n"/>
      <c r="B270" s="44" t="n"/>
      <c r="C270" s="44" t="n"/>
      <c r="D270" s="44" t="n"/>
      <c r="E270" s="72" t="n"/>
      <c r="F270" s="44" t="n"/>
      <c r="G270" s="44" t="n"/>
      <c r="H270" s="44" t="n"/>
      <c r="I270" s="44" t="n"/>
      <c r="J270" s="9">
        <f>IF(A270="","",TEXT(A270,"MMMM YYYY"))</f>
        <v/>
      </c>
      <c r="K270" s="9">
        <f>IF(A270="","",WEEKNUM(A270))</f>
        <v/>
      </c>
      <c r="L270" s="9">
        <f>IF(A270="","",MONTH(A270))</f>
        <v/>
      </c>
      <c r="M270" s="9">
        <f>IF(A270="","",YEAR(A270))</f>
        <v/>
      </c>
    </row>
    <row r="271">
      <c r="A271" s="47" t="n"/>
      <c r="B271" s="48" t="n"/>
      <c r="C271" s="48" t="n"/>
      <c r="D271" s="48" t="n"/>
      <c r="E271" s="73" t="n"/>
      <c r="F271" s="48" t="n"/>
      <c r="G271" s="48" t="n"/>
      <c r="H271" s="48" t="n"/>
      <c r="I271" s="48" t="n"/>
      <c r="J271" s="12">
        <f>IF(A271="","",TEXT(A271,"MMMM YYYY"))</f>
        <v/>
      </c>
      <c r="K271" s="12">
        <f>IF(A271="","",WEEKNUM(A271))</f>
        <v/>
      </c>
      <c r="L271" s="12">
        <f>IF(A271="","",MONTH(A271))</f>
        <v/>
      </c>
      <c r="M271" s="12">
        <f>IF(A271="","",YEAR(A271))</f>
        <v/>
      </c>
    </row>
    <row r="272">
      <c r="A272" s="43" t="n"/>
      <c r="B272" s="44" t="n"/>
      <c r="C272" s="44" t="n"/>
      <c r="D272" s="44" t="n"/>
      <c r="E272" s="72" t="n"/>
      <c r="F272" s="44" t="n"/>
      <c r="G272" s="44" t="n"/>
      <c r="H272" s="44" t="n"/>
      <c r="I272" s="44" t="n"/>
      <c r="J272" s="9">
        <f>IF(A272="","",TEXT(A272,"MMMM YYYY"))</f>
        <v/>
      </c>
      <c r="K272" s="9">
        <f>IF(A272="","",WEEKNUM(A272))</f>
        <v/>
      </c>
      <c r="L272" s="9">
        <f>IF(A272="","",MONTH(A272))</f>
        <v/>
      </c>
      <c r="M272" s="9">
        <f>IF(A272="","",YEAR(A272))</f>
        <v/>
      </c>
    </row>
    <row r="273">
      <c r="A273" s="47" t="n"/>
      <c r="B273" s="48" t="n"/>
      <c r="C273" s="48" t="n"/>
      <c r="D273" s="48" t="n"/>
      <c r="E273" s="73" t="n"/>
      <c r="F273" s="48" t="n"/>
      <c r="G273" s="48" t="n"/>
      <c r="H273" s="48" t="n"/>
      <c r="I273" s="48" t="n"/>
      <c r="J273" s="12">
        <f>IF(A273="","",TEXT(A273,"MMMM YYYY"))</f>
        <v/>
      </c>
      <c r="K273" s="12">
        <f>IF(A273="","",WEEKNUM(A273))</f>
        <v/>
      </c>
      <c r="L273" s="12">
        <f>IF(A273="","",MONTH(A273))</f>
        <v/>
      </c>
      <c r="M273" s="12">
        <f>IF(A273="","",YEAR(A273))</f>
        <v/>
      </c>
    </row>
    <row r="274">
      <c r="A274" s="43" t="n"/>
      <c r="B274" s="44" t="n"/>
      <c r="C274" s="44" t="n"/>
      <c r="D274" s="44" t="n"/>
      <c r="E274" s="72" t="n"/>
      <c r="F274" s="44" t="n"/>
      <c r="G274" s="44" t="n"/>
      <c r="H274" s="44" t="n"/>
      <c r="I274" s="44" t="n"/>
      <c r="J274" s="9">
        <f>IF(A274="","",TEXT(A274,"MMMM YYYY"))</f>
        <v/>
      </c>
      <c r="K274" s="9">
        <f>IF(A274="","",WEEKNUM(A274))</f>
        <v/>
      </c>
      <c r="L274" s="9">
        <f>IF(A274="","",MONTH(A274))</f>
        <v/>
      </c>
      <c r="M274" s="9">
        <f>IF(A274="","",YEAR(A274))</f>
        <v/>
      </c>
    </row>
    <row r="275">
      <c r="A275" s="47" t="n"/>
      <c r="B275" s="48" t="n"/>
      <c r="C275" s="48" t="n"/>
      <c r="D275" s="48" t="n"/>
      <c r="E275" s="73" t="n"/>
      <c r="F275" s="48" t="n"/>
      <c r="G275" s="48" t="n"/>
      <c r="H275" s="48" t="n"/>
      <c r="I275" s="48" t="n"/>
      <c r="J275" s="12">
        <f>IF(A275="","",TEXT(A275,"MMMM YYYY"))</f>
        <v/>
      </c>
      <c r="K275" s="12">
        <f>IF(A275="","",WEEKNUM(A275))</f>
        <v/>
      </c>
      <c r="L275" s="12">
        <f>IF(A275="","",MONTH(A275))</f>
        <v/>
      </c>
      <c r="M275" s="12">
        <f>IF(A275="","",YEAR(A275))</f>
        <v/>
      </c>
    </row>
    <row r="276">
      <c r="A276" s="43" t="n"/>
      <c r="B276" s="44" t="n"/>
      <c r="C276" s="44" t="n"/>
      <c r="D276" s="44" t="n"/>
      <c r="E276" s="72" t="n"/>
      <c r="F276" s="44" t="n"/>
      <c r="G276" s="44" t="n"/>
      <c r="H276" s="44" t="n"/>
      <c r="I276" s="44" t="n"/>
      <c r="J276" s="9">
        <f>IF(A276="","",TEXT(A276,"MMMM YYYY"))</f>
        <v/>
      </c>
      <c r="K276" s="9">
        <f>IF(A276="","",WEEKNUM(A276))</f>
        <v/>
      </c>
      <c r="L276" s="9">
        <f>IF(A276="","",MONTH(A276))</f>
        <v/>
      </c>
      <c r="M276" s="9">
        <f>IF(A276="","",YEAR(A276))</f>
        <v/>
      </c>
    </row>
    <row r="277">
      <c r="A277" s="47" t="n"/>
      <c r="B277" s="48" t="n"/>
      <c r="C277" s="48" t="n"/>
      <c r="D277" s="48" t="n"/>
      <c r="E277" s="73" t="n"/>
      <c r="F277" s="48" t="n"/>
      <c r="G277" s="48" t="n"/>
      <c r="H277" s="48" t="n"/>
      <c r="I277" s="48" t="n"/>
      <c r="J277" s="12">
        <f>IF(A277="","",TEXT(A277,"MMMM YYYY"))</f>
        <v/>
      </c>
      <c r="K277" s="12">
        <f>IF(A277="","",WEEKNUM(A277))</f>
        <v/>
      </c>
      <c r="L277" s="12">
        <f>IF(A277="","",MONTH(A277))</f>
        <v/>
      </c>
      <c r="M277" s="12">
        <f>IF(A277="","",YEAR(A277))</f>
        <v/>
      </c>
    </row>
    <row r="278">
      <c r="A278" s="43" t="n"/>
      <c r="B278" s="44" t="n"/>
      <c r="C278" s="44" t="n"/>
      <c r="D278" s="44" t="n"/>
      <c r="E278" s="72" t="n"/>
      <c r="F278" s="44" t="n"/>
      <c r="G278" s="44" t="n"/>
      <c r="H278" s="44" t="n"/>
      <c r="I278" s="44" t="n"/>
      <c r="J278" s="9">
        <f>IF(A278="","",TEXT(A278,"MMMM YYYY"))</f>
        <v/>
      </c>
      <c r="K278" s="9">
        <f>IF(A278="","",WEEKNUM(A278))</f>
        <v/>
      </c>
      <c r="L278" s="9">
        <f>IF(A278="","",MONTH(A278))</f>
        <v/>
      </c>
      <c r="M278" s="9">
        <f>IF(A278="","",YEAR(A278))</f>
        <v/>
      </c>
    </row>
    <row r="279">
      <c r="A279" s="47" t="n"/>
      <c r="B279" s="48" t="n"/>
      <c r="C279" s="48" t="n"/>
      <c r="D279" s="48" t="n"/>
      <c r="E279" s="73" t="n"/>
      <c r="F279" s="48" t="n"/>
      <c r="G279" s="48" t="n"/>
      <c r="H279" s="48" t="n"/>
      <c r="I279" s="48" t="n"/>
      <c r="J279" s="12">
        <f>IF(A279="","",TEXT(A279,"MMMM YYYY"))</f>
        <v/>
      </c>
      <c r="K279" s="12">
        <f>IF(A279="","",WEEKNUM(A279))</f>
        <v/>
      </c>
      <c r="L279" s="12">
        <f>IF(A279="","",MONTH(A279))</f>
        <v/>
      </c>
      <c r="M279" s="12">
        <f>IF(A279="","",YEAR(A279))</f>
        <v/>
      </c>
    </row>
    <row r="280">
      <c r="A280" s="43" t="n"/>
      <c r="B280" s="44" t="n"/>
      <c r="C280" s="44" t="n"/>
      <c r="D280" s="44" t="n"/>
      <c r="E280" s="72" t="n"/>
      <c r="F280" s="44" t="n"/>
      <c r="G280" s="44" t="n"/>
      <c r="H280" s="44" t="n"/>
      <c r="I280" s="44" t="n"/>
      <c r="J280" s="9">
        <f>IF(A280="","",TEXT(A280,"MMMM YYYY"))</f>
        <v/>
      </c>
      <c r="K280" s="9">
        <f>IF(A280="","",WEEKNUM(A280))</f>
        <v/>
      </c>
      <c r="L280" s="9">
        <f>IF(A280="","",MONTH(A280))</f>
        <v/>
      </c>
      <c r="M280" s="9">
        <f>IF(A280="","",YEAR(A280))</f>
        <v/>
      </c>
    </row>
    <row r="281">
      <c r="A281" s="47" t="n"/>
      <c r="B281" s="48" t="n"/>
      <c r="C281" s="48" t="n"/>
      <c r="D281" s="48" t="n"/>
      <c r="E281" s="73" t="n"/>
      <c r="F281" s="48" t="n"/>
      <c r="G281" s="48" t="n"/>
      <c r="H281" s="48" t="n"/>
      <c r="I281" s="48" t="n"/>
      <c r="J281" s="12">
        <f>IF(A281="","",TEXT(A281,"MMMM YYYY"))</f>
        <v/>
      </c>
      <c r="K281" s="12">
        <f>IF(A281="","",WEEKNUM(A281))</f>
        <v/>
      </c>
      <c r="L281" s="12">
        <f>IF(A281="","",MONTH(A281))</f>
        <v/>
      </c>
      <c r="M281" s="12">
        <f>IF(A281="","",YEAR(A281))</f>
        <v/>
      </c>
    </row>
    <row r="282">
      <c r="A282" s="43" t="n"/>
      <c r="B282" s="44" t="n"/>
      <c r="C282" s="44" t="n"/>
      <c r="D282" s="44" t="n"/>
      <c r="E282" s="72" t="n"/>
      <c r="F282" s="44" t="n"/>
      <c r="G282" s="44" t="n"/>
      <c r="H282" s="44" t="n"/>
      <c r="I282" s="44" t="n"/>
      <c r="J282" s="9">
        <f>IF(A282="","",TEXT(A282,"MMMM YYYY"))</f>
        <v/>
      </c>
      <c r="K282" s="9">
        <f>IF(A282="","",WEEKNUM(A282))</f>
        <v/>
      </c>
      <c r="L282" s="9">
        <f>IF(A282="","",MONTH(A282))</f>
        <v/>
      </c>
      <c r="M282" s="9">
        <f>IF(A282="","",YEAR(A282))</f>
        <v/>
      </c>
    </row>
    <row r="283">
      <c r="A283" s="47" t="n"/>
      <c r="B283" s="48" t="n"/>
      <c r="C283" s="48" t="n"/>
      <c r="D283" s="48" t="n"/>
      <c r="E283" s="73" t="n"/>
      <c r="F283" s="48" t="n"/>
      <c r="G283" s="48" t="n"/>
      <c r="H283" s="48" t="n"/>
      <c r="I283" s="48" t="n"/>
      <c r="J283" s="12">
        <f>IF(A283="","",TEXT(A283,"MMMM YYYY"))</f>
        <v/>
      </c>
      <c r="K283" s="12">
        <f>IF(A283="","",WEEKNUM(A283))</f>
        <v/>
      </c>
      <c r="L283" s="12">
        <f>IF(A283="","",MONTH(A283))</f>
        <v/>
      </c>
      <c r="M283" s="12">
        <f>IF(A283="","",YEAR(A283))</f>
        <v/>
      </c>
    </row>
    <row r="284">
      <c r="A284" s="43" t="n"/>
      <c r="B284" s="44" t="n"/>
      <c r="C284" s="44" t="n"/>
      <c r="D284" s="44" t="n"/>
      <c r="E284" s="72" t="n"/>
      <c r="F284" s="44" t="n"/>
      <c r="G284" s="44" t="n"/>
      <c r="H284" s="44" t="n"/>
      <c r="I284" s="44" t="n"/>
      <c r="J284" s="9">
        <f>IF(A284="","",TEXT(A284,"MMMM YYYY"))</f>
        <v/>
      </c>
      <c r="K284" s="9">
        <f>IF(A284="","",WEEKNUM(A284))</f>
        <v/>
      </c>
      <c r="L284" s="9">
        <f>IF(A284="","",MONTH(A284))</f>
        <v/>
      </c>
      <c r="M284" s="9">
        <f>IF(A284="","",YEAR(A284))</f>
        <v/>
      </c>
    </row>
    <row r="285">
      <c r="A285" s="47" t="n"/>
      <c r="B285" s="48" t="n"/>
      <c r="C285" s="48" t="n"/>
      <c r="D285" s="48" t="n"/>
      <c r="E285" s="73" t="n"/>
      <c r="F285" s="48" t="n"/>
      <c r="G285" s="48" t="n"/>
      <c r="H285" s="48" t="n"/>
      <c r="I285" s="48" t="n"/>
      <c r="J285" s="12">
        <f>IF(A285="","",TEXT(A285,"MMMM YYYY"))</f>
        <v/>
      </c>
      <c r="K285" s="12">
        <f>IF(A285="","",WEEKNUM(A285))</f>
        <v/>
      </c>
      <c r="L285" s="12">
        <f>IF(A285="","",MONTH(A285))</f>
        <v/>
      </c>
      <c r="M285" s="12">
        <f>IF(A285="","",YEAR(A285))</f>
        <v/>
      </c>
    </row>
    <row r="286">
      <c r="A286" s="43" t="n"/>
      <c r="B286" s="44" t="n"/>
      <c r="C286" s="44" t="n"/>
      <c r="D286" s="44" t="n"/>
      <c r="E286" s="72" t="n"/>
      <c r="F286" s="44" t="n"/>
      <c r="G286" s="44" t="n"/>
      <c r="H286" s="44" t="n"/>
      <c r="I286" s="44" t="n"/>
      <c r="J286" s="9">
        <f>IF(A286="","",TEXT(A286,"MMMM YYYY"))</f>
        <v/>
      </c>
      <c r="K286" s="9">
        <f>IF(A286="","",WEEKNUM(A286))</f>
        <v/>
      </c>
      <c r="L286" s="9">
        <f>IF(A286="","",MONTH(A286))</f>
        <v/>
      </c>
      <c r="M286" s="9">
        <f>IF(A286="","",YEAR(A286))</f>
        <v/>
      </c>
    </row>
    <row r="287">
      <c r="A287" s="47" t="n"/>
      <c r="B287" s="48" t="n"/>
      <c r="C287" s="48" t="n"/>
      <c r="D287" s="48" t="n"/>
      <c r="E287" s="73" t="n"/>
      <c r="F287" s="48" t="n"/>
      <c r="G287" s="48" t="n"/>
      <c r="H287" s="48" t="n"/>
      <c r="I287" s="48" t="n"/>
      <c r="J287" s="12">
        <f>IF(A287="","",TEXT(A287,"MMMM YYYY"))</f>
        <v/>
      </c>
      <c r="K287" s="12">
        <f>IF(A287="","",WEEKNUM(A287))</f>
        <v/>
      </c>
      <c r="L287" s="12">
        <f>IF(A287="","",MONTH(A287))</f>
        <v/>
      </c>
      <c r="M287" s="12">
        <f>IF(A287="","",YEAR(A287))</f>
        <v/>
      </c>
    </row>
    <row r="288">
      <c r="A288" s="43" t="n"/>
      <c r="B288" s="44" t="n"/>
      <c r="C288" s="44" t="n"/>
      <c r="D288" s="44" t="n"/>
      <c r="E288" s="72" t="n"/>
      <c r="F288" s="44" t="n"/>
      <c r="G288" s="44" t="n"/>
      <c r="H288" s="44" t="n"/>
      <c r="I288" s="44" t="n"/>
      <c r="J288" s="9">
        <f>IF(A288="","",TEXT(A288,"MMMM YYYY"))</f>
        <v/>
      </c>
      <c r="K288" s="9">
        <f>IF(A288="","",WEEKNUM(A288))</f>
        <v/>
      </c>
      <c r="L288" s="9">
        <f>IF(A288="","",MONTH(A288))</f>
        <v/>
      </c>
      <c r="M288" s="9">
        <f>IF(A288="","",YEAR(A288))</f>
        <v/>
      </c>
    </row>
    <row r="289">
      <c r="A289" s="47" t="n"/>
      <c r="B289" s="48" t="n"/>
      <c r="C289" s="48" t="n"/>
      <c r="D289" s="48" t="n"/>
      <c r="E289" s="73" t="n"/>
      <c r="F289" s="48" t="n"/>
      <c r="G289" s="48" t="n"/>
      <c r="H289" s="48" t="n"/>
      <c r="I289" s="48" t="n"/>
      <c r="J289" s="12">
        <f>IF(A289="","",TEXT(A289,"MMMM YYYY"))</f>
        <v/>
      </c>
      <c r="K289" s="12">
        <f>IF(A289="","",WEEKNUM(A289))</f>
        <v/>
      </c>
      <c r="L289" s="12">
        <f>IF(A289="","",MONTH(A289))</f>
        <v/>
      </c>
      <c r="M289" s="12">
        <f>IF(A289="","",YEAR(A289))</f>
        <v/>
      </c>
    </row>
    <row r="290">
      <c r="A290" s="43" t="n"/>
      <c r="B290" s="44" t="n"/>
      <c r="C290" s="44" t="n"/>
      <c r="D290" s="44" t="n"/>
      <c r="E290" s="72" t="n"/>
      <c r="F290" s="44" t="n"/>
      <c r="G290" s="44" t="n"/>
      <c r="H290" s="44" t="n"/>
      <c r="I290" s="44" t="n"/>
      <c r="J290" s="9">
        <f>IF(A290="","",TEXT(A290,"MMMM YYYY"))</f>
        <v/>
      </c>
      <c r="K290" s="9">
        <f>IF(A290="","",WEEKNUM(A290))</f>
        <v/>
      </c>
      <c r="L290" s="9">
        <f>IF(A290="","",MONTH(A290))</f>
        <v/>
      </c>
      <c r="M290" s="9">
        <f>IF(A290="","",YEAR(A290))</f>
        <v/>
      </c>
    </row>
    <row r="291">
      <c r="A291" s="47" t="n"/>
      <c r="B291" s="48" t="n"/>
      <c r="C291" s="48" t="n"/>
      <c r="D291" s="48" t="n"/>
      <c r="E291" s="73" t="n"/>
      <c r="F291" s="48" t="n"/>
      <c r="G291" s="48" t="n"/>
      <c r="H291" s="48" t="n"/>
      <c r="I291" s="48" t="n"/>
      <c r="J291" s="12">
        <f>IF(A291="","",TEXT(A291,"MMMM YYYY"))</f>
        <v/>
      </c>
      <c r="K291" s="12">
        <f>IF(A291="","",WEEKNUM(A291))</f>
        <v/>
      </c>
      <c r="L291" s="12">
        <f>IF(A291="","",MONTH(A291))</f>
        <v/>
      </c>
      <c r="M291" s="12">
        <f>IF(A291="","",YEAR(A291))</f>
        <v/>
      </c>
    </row>
    <row r="292">
      <c r="A292" s="43" t="n"/>
      <c r="B292" s="44" t="n"/>
      <c r="C292" s="44" t="n"/>
      <c r="D292" s="44" t="n"/>
      <c r="E292" s="72" t="n"/>
      <c r="F292" s="44" t="n"/>
      <c r="G292" s="44" t="n"/>
      <c r="H292" s="44" t="n"/>
      <c r="I292" s="44" t="n"/>
      <c r="J292" s="9">
        <f>IF(A292="","",TEXT(A292,"MMMM YYYY"))</f>
        <v/>
      </c>
      <c r="K292" s="9">
        <f>IF(A292="","",WEEKNUM(A292))</f>
        <v/>
      </c>
      <c r="L292" s="9">
        <f>IF(A292="","",MONTH(A292))</f>
        <v/>
      </c>
      <c r="M292" s="9">
        <f>IF(A292="","",YEAR(A292))</f>
        <v/>
      </c>
    </row>
    <row r="293">
      <c r="A293" s="47" t="n"/>
      <c r="B293" s="48" t="n"/>
      <c r="C293" s="48" t="n"/>
      <c r="D293" s="48" t="n"/>
      <c r="E293" s="73" t="n"/>
      <c r="F293" s="48" t="n"/>
      <c r="G293" s="48" t="n"/>
      <c r="H293" s="48" t="n"/>
      <c r="I293" s="48" t="n"/>
      <c r="J293" s="12">
        <f>IF(A293="","",TEXT(A293,"MMMM YYYY"))</f>
        <v/>
      </c>
      <c r="K293" s="12">
        <f>IF(A293="","",WEEKNUM(A293))</f>
        <v/>
      </c>
      <c r="L293" s="12">
        <f>IF(A293="","",MONTH(A293))</f>
        <v/>
      </c>
      <c r="M293" s="12">
        <f>IF(A293="","",YEAR(A293))</f>
        <v/>
      </c>
    </row>
    <row r="294">
      <c r="A294" s="43" t="n"/>
      <c r="B294" s="44" t="n"/>
      <c r="C294" s="44" t="n"/>
      <c r="D294" s="44" t="n"/>
      <c r="E294" s="72" t="n"/>
      <c r="F294" s="44" t="n"/>
      <c r="G294" s="44" t="n"/>
      <c r="H294" s="44" t="n"/>
      <c r="I294" s="44" t="n"/>
      <c r="J294" s="9">
        <f>IF(A294="","",TEXT(A294,"MMMM YYYY"))</f>
        <v/>
      </c>
      <c r="K294" s="9">
        <f>IF(A294="","",WEEKNUM(A294))</f>
        <v/>
      </c>
      <c r="L294" s="9">
        <f>IF(A294="","",MONTH(A294))</f>
        <v/>
      </c>
      <c r="M294" s="9">
        <f>IF(A294="","",YEAR(A294))</f>
        <v/>
      </c>
    </row>
    <row r="295">
      <c r="A295" s="47" t="n"/>
      <c r="B295" s="48" t="n"/>
      <c r="C295" s="48" t="n"/>
      <c r="D295" s="48" t="n"/>
      <c r="E295" s="73" t="n"/>
      <c r="F295" s="48" t="n"/>
      <c r="G295" s="48" t="n"/>
      <c r="H295" s="48" t="n"/>
      <c r="I295" s="48" t="n"/>
      <c r="J295" s="12">
        <f>IF(A295="","",TEXT(A295,"MMMM YYYY"))</f>
        <v/>
      </c>
      <c r="K295" s="12">
        <f>IF(A295="","",WEEKNUM(A295))</f>
        <v/>
      </c>
      <c r="L295" s="12">
        <f>IF(A295="","",MONTH(A295))</f>
        <v/>
      </c>
      <c r="M295" s="12">
        <f>IF(A295="","",YEAR(A295))</f>
        <v/>
      </c>
    </row>
    <row r="296">
      <c r="A296" s="43" t="n"/>
      <c r="B296" s="44" t="n"/>
      <c r="C296" s="44" t="n"/>
      <c r="D296" s="44" t="n"/>
      <c r="E296" s="72" t="n"/>
      <c r="F296" s="44" t="n"/>
      <c r="G296" s="44" t="n"/>
      <c r="H296" s="44" t="n"/>
      <c r="I296" s="44" t="n"/>
      <c r="J296" s="9">
        <f>IF(A296="","",TEXT(A296,"MMMM YYYY"))</f>
        <v/>
      </c>
      <c r="K296" s="9">
        <f>IF(A296="","",WEEKNUM(A296))</f>
        <v/>
      </c>
      <c r="L296" s="9">
        <f>IF(A296="","",MONTH(A296))</f>
        <v/>
      </c>
      <c r="M296" s="9">
        <f>IF(A296="","",YEAR(A296))</f>
        <v/>
      </c>
    </row>
    <row r="297">
      <c r="A297" s="47" t="n"/>
      <c r="B297" s="48" t="n"/>
      <c r="C297" s="48" t="n"/>
      <c r="D297" s="48" t="n"/>
      <c r="E297" s="73" t="n"/>
      <c r="F297" s="48" t="n"/>
      <c r="G297" s="48" t="n"/>
      <c r="H297" s="48" t="n"/>
      <c r="I297" s="48" t="n"/>
      <c r="J297" s="12">
        <f>IF(A297="","",TEXT(A297,"MMMM YYYY"))</f>
        <v/>
      </c>
      <c r="K297" s="12">
        <f>IF(A297="","",WEEKNUM(A297))</f>
        <v/>
      </c>
      <c r="L297" s="12">
        <f>IF(A297="","",MONTH(A297))</f>
        <v/>
      </c>
      <c r="M297" s="12">
        <f>IF(A297="","",YEAR(A297))</f>
        <v/>
      </c>
    </row>
    <row r="298">
      <c r="A298" s="43" t="n"/>
      <c r="B298" s="44" t="n"/>
      <c r="C298" s="44" t="n"/>
      <c r="D298" s="44" t="n"/>
      <c r="E298" s="72" t="n"/>
      <c r="F298" s="44" t="n"/>
      <c r="G298" s="44" t="n"/>
      <c r="H298" s="44" t="n"/>
      <c r="I298" s="44" t="n"/>
      <c r="J298" s="9">
        <f>IF(A298="","",TEXT(A298,"MMMM YYYY"))</f>
        <v/>
      </c>
      <c r="K298" s="9">
        <f>IF(A298="","",WEEKNUM(A298))</f>
        <v/>
      </c>
      <c r="L298" s="9">
        <f>IF(A298="","",MONTH(A298))</f>
        <v/>
      </c>
      <c r="M298" s="9">
        <f>IF(A298="","",YEAR(A298))</f>
        <v/>
      </c>
    </row>
    <row r="299">
      <c r="A299" s="47" t="n"/>
      <c r="B299" s="48" t="n"/>
      <c r="C299" s="48" t="n"/>
      <c r="D299" s="48" t="n"/>
      <c r="E299" s="73" t="n"/>
      <c r="F299" s="48" t="n"/>
      <c r="G299" s="48" t="n"/>
      <c r="H299" s="48" t="n"/>
      <c r="I299" s="48" t="n"/>
      <c r="J299" s="12">
        <f>IF(A299="","",TEXT(A299,"MMMM YYYY"))</f>
        <v/>
      </c>
      <c r="K299" s="12">
        <f>IF(A299="","",WEEKNUM(A299))</f>
        <v/>
      </c>
      <c r="L299" s="12">
        <f>IF(A299="","",MONTH(A299))</f>
        <v/>
      </c>
      <c r="M299" s="12">
        <f>IF(A299="","",YEAR(A299))</f>
        <v/>
      </c>
    </row>
    <row r="300">
      <c r="A300" s="43" t="n"/>
      <c r="B300" s="44" t="n"/>
      <c r="C300" s="44" t="n"/>
      <c r="D300" s="44" t="n"/>
      <c r="E300" s="72" t="n"/>
      <c r="F300" s="44" t="n"/>
      <c r="G300" s="44" t="n"/>
      <c r="H300" s="44" t="n"/>
      <c r="I300" s="44" t="n"/>
      <c r="J300" s="9">
        <f>IF(A300="","",TEXT(A300,"MMMM YYYY"))</f>
        <v/>
      </c>
      <c r="K300" s="9">
        <f>IF(A300="","",WEEKNUM(A300))</f>
        <v/>
      </c>
      <c r="L300" s="9">
        <f>IF(A300="","",MONTH(A300))</f>
        <v/>
      </c>
      <c r="M300" s="9">
        <f>IF(A300="","",YEAR(A300))</f>
        <v/>
      </c>
    </row>
    <row r="301">
      <c r="A301" s="47" t="n"/>
      <c r="B301" s="48" t="n"/>
      <c r="C301" s="48" t="n"/>
      <c r="D301" s="48" t="n"/>
      <c r="E301" s="73" t="n"/>
      <c r="F301" s="48" t="n"/>
      <c r="G301" s="48" t="n"/>
      <c r="H301" s="48" t="n"/>
      <c r="I301" s="48" t="n"/>
      <c r="J301" s="12">
        <f>IF(A301="","",TEXT(A301,"MMMM YYYY"))</f>
        <v/>
      </c>
      <c r="K301" s="12">
        <f>IF(A301="","",WEEKNUM(A301))</f>
        <v/>
      </c>
      <c r="L301" s="12">
        <f>IF(A301="","",MONTH(A301))</f>
        <v/>
      </c>
      <c r="M301" s="12">
        <f>IF(A301="","",YEAR(A301))</f>
        <v/>
      </c>
    </row>
    <row r="302">
      <c r="A302" s="43" t="n"/>
      <c r="B302" s="44" t="n"/>
      <c r="C302" s="44" t="n"/>
      <c r="D302" s="44" t="n"/>
      <c r="E302" s="72" t="n"/>
      <c r="F302" s="44" t="n"/>
      <c r="G302" s="44" t="n"/>
      <c r="H302" s="44" t="n"/>
      <c r="I302" s="44" t="n"/>
      <c r="J302" s="9">
        <f>IF(A302="","",TEXT(A302,"MMMM YYYY"))</f>
        <v/>
      </c>
      <c r="K302" s="9">
        <f>IF(A302="","",WEEKNUM(A302))</f>
        <v/>
      </c>
      <c r="L302" s="9">
        <f>IF(A302="","",MONTH(A302))</f>
        <v/>
      </c>
      <c r="M302" s="9">
        <f>IF(A302="","",YEAR(A302))</f>
        <v/>
      </c>
    </row>
    <row r="303">
      <c r="A303" s="47" t="n"/>
      <c r="B303" s="48" t="n"/>
      <c r="C303" s="48" t="n"/>
      <c r="D303" s="48" t="n"/>
      <c r="E303" s="73" t="n"/>
      <c r="F303" s="48" t="n"/>
      <c r="G303" s="48" t="n"/>
      <c r="H303" s="48" t="n"/>
      <c r="I303" s="48" t="n"/>
      <c r="J303" s="12">
        <f>IF(A303="","",TEXT(A303,"MMMM YYYY"))</f>
        <v/>
      </c>
      <c r="K303" s="12">
        <f>IF(A303="","",WEEKNUM(A303))</f>
        <v/>
      </c>
      <c r="L303" s="12">
        <f>IF(A303="","",MONTH(A303))</f>
        <v/>
      </c>
      <c r="M303" s="12">
        <f>IF(A303="","",YEAR(A303))</f>
        <v/>
      </c>
    </row>
    <row r="304">
      <c r="A304" s="43" t="n"/>
      <c r="B304" s="44" t="n"/>
      <c r="C304" s="44" t="n"/>
      <c r="D304" s="44" t="n"/>
      <c r="E304" s="72" t="n"/>
      <c r="F304" s="44" t="n"/>
      <c r="G304" s="44" t="n"/>
      <c r="H304" s="44" t="n"/>
      <c r="I304" s="44" t="n"/>
      <c r="J304" s="9">
        <f>IF(A304="","",TEXT(A304,"MMMM YYYY"))</f>
        <v/>
      </c>
      <c r="K304" s="9">
        <f>IF(A304="","",WEEKNUM(A304))</f>
        <v/>
      </c>
      <c r="L304" s="9">
        <f>IF(A304="","",MONTH(A304))</f>
        <v/>
      </c>
      <c r="M304" s="9">
        <f>IF(A304="","",YEAR(A304))</f>
        <v/>
      </c>
    </row>
    <row r="305">
      <c r="A305" s="47" t="n"/>
      <c r="B305" s="48" t="n"/>
      <c r="C305" s="48" t="n"/>
      <c r="D305" s="48" t="n"/>
      <c r="E305" s="73" t="n"/>
      <c r="F305" s="48" t="n"/>
      <c r="G305" s="48" t="n"/>
      <c r="H305" s="48" t="n"/>
      <c r="I305" s="48" t="n"/>
      <c r="J305" s="12">
        <f>IF(A305="","",TEXT(A305,"MMMM YYYY"))</f>
        <v/>
      </c>
      <c r="K305" s="12">
        <f>IF(A305="","",WEEKNUM(A305))</f>
        <v/>
      </c>
      <c r="L305" s="12">
        <f>IF(A305="","",MONTH(A305))</f>
        <v/>
      </c>
      <c r="M305" s="12">
        <f>IF(A305="","",YEAR(A305))</f>
        <v/>
      </c>
    </row>
    <row r="306">
      <c r="A306" s="43" t="n"/>
      <c r="B306" s="44" t="n"/>
      <c r="C306" s="44" t="n"/>
      <c r="D306" s="44" t="n"/>
      <c r="E306" s="72" t="n"/>
      <c r="F306" s="44" t="n"/>
      <c r="G306" s="44" t="n"/>
      <c r="H306" s="44" t="n"/>
      <c r="I306" s="44" t="n"/>
      <c r="J306" s="9">
        <f>IF(A306="","",TEXT(A306,"MMMM YYYY"))</f>
        <v/>
      </c>
      <c r="K306" s="9">
        <f>IF(A306="","",WEEKNUM(A306))</f>
        <v/>
      </c>
      <c r="L306" s="9">
        <f>IF(A306="","",MONTH(A306))</f>
        <v/>
      </c>
      <c r="M306" s="9">
        <f>IF(A306="","",YEAR(A306))</f>
        <v/>
      </c>
    </row>
    <row r="307">
      <c r="A307" s="47" t="n"/>
      <c r="B307" s="48" t="n"/>
      <c r="C307" s="48" t="n"/>
      <c r="D307" s="48" t="n"/>
      <c r="E307" s="73" t="n"/>
      <c r="F307" s="48" t="n"/>
      <c r="G307" s="48" t="n"/>
      <c r="H307" s="48" t="n"/>
      <c r="I307" s="48" t="n"/>
      <c r="J307" s="12">
        <f>IF(A307="","",TEXT(A307,"MMMM YYYY"))</f>
        <v/>
      </c>
      <c r="K307" s="12">
        <f>IF(A307="","",WEEKNUM(A307))</f>
        <v/>
      </c>
      <c r="L307" s="12">
        <f>IF(A307="","",MONTH(A307))</f>
        <v/>
      </c>
      <c r="M307" s="12">
        <f>IF(A307="","",YEAR(A307))</f>
        <v/>
      </c>
    </row>
    <row r="308">
      <c r="A308" s="43" t="n"/>
      <c r="B308" s="44" t="n"/>
      <c r="C308" s="44" t="n"/>
      <c r="D308" s="44" t="n"/>
      <c r="E308" s="72" t="n"/>
      <c r="F308" s="44" t="n"/>
      <c r="G308" s="44" t="n"/>
      <c r="H308" s="44" t="n"/>
      <c r="I308" s="44" t="n"/>
      <c r="J308" s="9">
        <f>IF(A308="","",TEXT(A308,"MMMM YYYY"))</f>
        <v/>
      </c>
      <c r="K308" s="9">
        <f>IF(A308="","",WEEKNUM(A308))</f>
        <v/>
      </c>
      <c r="L308" s="9">
        <f>IF(A308="","",MONTH(A308))</f>
        <v/>
      </c>
      <c r="M308" s="9">
        <f>IF(A308="","",YEAR(A308))</f>
        <v/>
      </c>
    </row>
    <row r="309">
      <c r="A309" s="47" t="n"/>
      <c r="B309" s="48" t="n"/>
      <c r="C309" s="48" t="n"/>
      <c r="D309" s="48" t="n"/>
      <c r="E309" s="73" t="n"/>
      <c r="F309" s="48" t="n"/>
      <c r="G309" s="48" t="n"/>
      <c r="H309" s="48" t="n"/>
      <c r="I309" s="48" t="n"/>
      <c r="J309" s="12">
        <f>IF(A309="","",TEXT(A309,"MMMM YYYY"))</f>
        <v/>
      </c>
      <c r="K309" s="12">
        <f>IF(A309="","",WEEKNUM(A309))</f>
        <v/>
      </c>
      <c r="L309" s="12">
        <f>IF(A309="","",MONTH(A309))</f>
        <v/>
      </c>
      <c r="M309" s="12">
        <f>IF(A309="","",YEAR(A309))</f>
        <v/>
      </c>
    </row>
    <row r="310">
      <c r="A310" s="43" t="n"/>
      <c r="B310" s="44" t="n"/>
      <c r="C310" s="44" t="n"/>
      <c r="D310" s="44" t="n"/>
      <c r="E310" s="72" t="n"/>
      <c r="F310" s="44" t="n"/>
      <c r="G310" s="44" t="n"/>
      <c r="H310" s="44" t="n"/>
      <c r="I310" s="44" t="n"/>
      <c r="J310" s="9">
        <f>IF(A310="","",TEXT(A310,"MMMM YYYY"))</f>
        <v/>
      </c>
      <c r="K310" s="9">
        <f>IF(A310="","",WEEKNUM(A310))</f>
        <v/>
      </c>
      <c r="L310" s="9">
        <f>IF(A310="","",MONTH(A310))</f>
        <v/>
      </c>
      <c r="M310" s="9">
        <f>IF(A310="","",YEAR(A310))</f>
        <v/>
      </c>
    </row>
    <row r="311">
      <c r="A311" s="47" t="n"/>
      <c r="B311" s="48" t="n"/>
      <c r="C311" s="48" t="n"/>
      <c r="D311" s="48" t="n"/>
      <c r="E311" s="73" t="n"/>
      <c r="F311" s="48" t="n"/>
      <c r="G311" s="48" t="n"/>
      <c r="H311" s="48" t="n"/>
      <c r="I311" s="48" t="n"/>
      <c r="J311" s="12">
        <f>IF(A311="","",TEXT(A311,"MMMM YYYY"))</f>
        <v/>
      </c>
      <c r="K311" s="12">
        <f>IF(A311="","",WEEKNUM(A311))</f>
        <v/>
      </c>
      <c r="L311" s="12">
        <f>IF(A311="","",MONTH(A311))</f>
        <v/>
      </c>
      <c r="M311" s="12">
        <f>IF(A311="","",YEAR(A311))</f>
        <v/>
      </c>
    </row>
    <row r="312">
      <c r="A312" s="43" t="n"/>
      <c r="B312" s="44" t="n"/>
      <c r="C312" s="44" t="n"/>
      <c r="D312" s="44" t="n"/>
      <c r="E312" s="72" t="n"/>
      <c r="F312" s="44" t="n"/>
      <c r="G312" s="44" t="n"/>
      <c r="H312" s="44" t="n"/>
      <c r="I312" s="44" t="n"/>
      <c r="J312" s="9">
        <f>IF(A312="","",TEXT(A312,"MMMM YYYY"))</f>
        <v/>
      </c>
      <c r="K312" s="9">
        <f>IF(A312="","",WEEKNUM(A312))</f>
        <v/>
      </c>
      <c r="L312" s="9">
        <f>IF(A312="","",MONTH(A312))</f>
        <v/>
      </c>
      <c r="M312" s="9">
        <f>IF(A312="","",YEAR(A312))</f>
        <v/>
      </c>
    </row>
    <row r="313">
      <c r="A313" s="47" t="n"/>
      <c r="B313" s="48" t="n"/>
      <c r="C313" s="48" t="n"/>
      <c r="D313" s="48" t="n"/>
      <c r="E313" s="73" t="n"/>
      <c r="F313" s="48" t="n"/>
      <c r="G313" s="48" t="n"/>
      <c r="H313" s="48" t="n"/>
      <c r="I313" s="48" t="n"/>
      <c r="J313" s="12">
        <f>IF(A313="","",TEXT(A313,"MMMM YYYY"))</f>
        <v/>
      </c>
      <c r="K313" s="12">
        <f>IF(A313="","",WEEKNUM(A313))</f>
        <v/>
      </c>
      <c r="L313" s="12">
        <f>IF(A313="","",MONTH(A313))</f>
        <v/>
      </c>
      <c r="M313" s="12">
        <f>IF(A313="","",YEAR(A313))</f>
        <v/>
      </c>
    </row>
    <row r="314">
      <c r="A314" s="43" t="n"/>
      <c r="B314" s="44" t="n"/>
      <c r="C314" s="44" t="n"/>
      <c r="D314" s="44" t="n"/>
      <c r="E314" s="72" t="n"/>
      <c r="F314" s="44" t="n"/>
      <c r="G314" s="44" t="n"/>
      <c r="H314" s="44" t="n"/>
      <c r="I314" s="44" t="n"/>
      <c r="J314" s="9">
        <f>IF(A314="","",TEXT(A314,"MMMM YYYY"))</f>
        <v/>
      </c>
      <c r="K314" s="9">
        <f>IF(A314="","",WEEKNUM(A314))</f>
        <v/>
      </c>
      <c r="L314" s="9">
        <f>IF(A314="","",MONTH(A314))</f>
        <v/>
      </c>
      <c r="M314" s="9">
        <f>IF(A314="","",YEAR(A314))</f>
        <v/>
      </c>
    </row>
    <row r="315">
      <c r="A315" s="47" t="n"/>
      <c r="B315" s="48" t="n"/>
      <c r="C315" s="48" t="n"/>
      <c r="D315" s="48" t="n"/>
      <c r="E315" s="73" t="n"/>
      <c r="F315" s="48" t="n"/>
      <c r="G315" s="48" t="n"/>
      <c r="H315" s="48" t="n"/>
      <c r="I315" s="48" t="n"/>
      <c r="J315" s="12">
        <f>IF(A315="","",TEXT(A315,"MMMM YYYY"))</f>
        <v/>
      </c>
      <c r="K315" s="12">
        <f>IF(A315="","",WEEKNUM(A315))</f>
        <v/>
      </c>
      <c r="L315" s="12">
        <f>IF(A315="","",MONTH(A315))</f>
        <v/>
      </c>
      <c r="M315" s="12">
        <f>IF(A315="","",YEAR(A315))</f>
        <v/>
      </c>
    </row>
    <row r="316">
      <c r="A316" s="43" t="n"/>
      <c r="B316" s="44" t="n"/>
      <c r="C316" s="44" t="n"/>
      <c r="D316" s="44" t="n"/>
      <c r="E316" s="72" t="n"/>
      <c r="F316" s="44" t="n"/>
      <c r="G316" s="44" t="n"/>
      <c r="H316" s="44" t="n"/>
      <c r="I316" s="44" t="n"/>
      <c r="J316" s="9">
        <f>IF(A316="","",TEXT(A316,"MMMM YYYY"))</f>
        <v/>
      </c>
      <c r="K316" s="9">
        <f>IF(A316="","",WEEKNUM(A316))</f>
        <v/>
      </c>
      <c r="L316" s="9">
        <f>IF(A316="","",MONTH(A316))</f>
        <v/>
      </c>
      <c r="M316" s="9">
        <f>IF(A316="","",YEAR(A316))</f>
        <v/>
      </c>
    </row>
    <row r="317">
      <c r="A317" s="47" t="n"/>
      <c r="B317" s="48" t="n"/>
      <c r="C317" s="48" t="n"/>
      <c r="D317" s="48" t="n"/>
      <c r="E317" s="73" t="n"/>
      <c r="F317" s="48" t="n"/>
      <c r="G317" s="48" t="n"/>
      <c r="H317" s="48" t="n"/>
      <c r="I317" s="48" t="n"/>
      <c r="J317" s="12">
        <f>IF(A317="","",TEXT(A317,"MMMM YYYY"))</f>
        <v/>
      </c>
      <c r="K317" s="12">
        <f>IF(A317="","",WEEKNUM(A317))</f>
        <v/>
      </c>
      <c r="L317" s="12">
        <f>IF(A317="","",MONTH(A317))</f>
        <v/>
      </c>
      <c r="M317" s="12">
        <f>IF(A317="","",YEAR(A317))</f>
        <v/>
      </c>
    </row>
    <row r="318">
      <c r="A318" s="43" t="n"/>
      <c r="B318" s="44" t="n"/>
      <c r="C318" s="44" t="n"/>
      <c r="D318" s="44" t="n"/>
      <c r="E318" s="72" t="n"/>
      <c r="F318" s="44" t="n"/>
      <c r="G318" s="44" t="n"/>
      <c r="H318" s="44" t="n"/>
      <c r="I318" s="44" t="n"/>
      <c r="J318" s="9">
        <f>IF(A318="","",TEXT(A318,"MMMM YYYY"))</f>
        <v/>
      </c>
      <c r="K318" s="9">
        <f>IF(A318="","",WEEKNUM(A318))</f>
        <v/>
      </c>
      <c r="L318" s="9">
        <f>IF(A318="","",MONTH(A318))</f>
        <v/>
      </c>
      <c r="M318" s="9">
        <f>IF(A318="","",YEAR(A318))</f>
        <v/>
      </c>
    </row>
    <row r="319">
      <c r="A319" s="47" t="n"/>
      <c r="B319" s="48" t="n"/>
      <c r="C319" s="48" t="n"/>
      <c r="D319" s="48" t="n"/>
      <c r="E319" s="73" t="n"/>
      <c r="F319" s="48" t="n"/>
      <c r="G319" s="48" t="n"/>
      <c r="H319" s="48" t="n"/>
      <c r="I319" s="48" t="n"/>
      <c r="J319" s="12">
        <f>IF(A319="","",TEXT(A319,"MMMM YYYY"))</f>
        <v/>
      </c>
      <c r="K319" s="12">
        <f>IF(A319="","",WEEKNUM(A319))</f>
        <v/>
      </c>
      <c r="L319" s="12">
        <f>IF(A319="","",MONTH(A319))</f>
        <v/>
      </c>
      <c r="M319" s="12">
        <f>IF(A319="","",YEAR(A319))</f>
        <v/>
      </c>
    </row>
    <row r="320">
      <c r="A320" s="43" t="n"/>
      <c r="B320" s="44" t="n"/>
      <c r="C320" s="44" t="n"/>
      <c r="D320" s="44" t="n"/>
      <c r="E320" s="72" t="n"/>
      <c r="F320" s="44" t="n"/>
      <c r="G320" s="44" t="n"/>
      <c r="H320" s="44" t="n"/>
      <c r="I320" s="44" t="n"/>
      <c r="J320" s="9">
        <f>IF(A320="","",TEXT(A320,"MMMM YYYY"))</f>
        <v/>
      </c>
      <c r="K320" s="9">
        <f>IF(A320="","",WEEKNUM(A320))</f>
        <v/>
      </c>
      <c r="L320" s="9">
        <f>IF(A320="","",MONTH(A320))</f>
        <v/>
      </c>
      <c r="M320" s="9">
        <f>IF(A320="","",YEAR(A320))</f>
        <v/>
      </c>
    </row>
    <row r="321">
      <c r="A321" s="47" t="n"/>
      <c r="B321" s="48" t="n"/>
      <c r="C321" s="48" t="n"/>
      <c r="D321" s="48" t="n"/>
      <c r="E321" s="73" t="n"/>
      <c r="F321" s="48" t="n"/>
      <c r="G321" s="48" t="n"/>
      <c r="H321" s="48" t="n"/>
      <c r="I321" s="48" t="n"/>
      <c r="J321" s="12">
        <f>IF(A321="","",TEXT(A321,"MMMM YYYY"))</f>
        <v/>
      </c>
      <c r="K321" s="12">
        <f>IF(A321="","",WEEKNUM(A321))</f>
        <v/>
      </c>
      <c r="L321" s="12">
        <f>IF(A321="","",MONTH(A321))</f>
        <v/>
      </c>
      <c r="M321" s="12">
        <f>IF(A321="","",YEAR(A321))</f>
        <v/>
      </c>
    </row>
    <row r="322">
      <c r="A322" s="43" t="n"/>
      <c r="B322" s="44" t="n"/>
      <c r="C322" s="44" t="n"/>
      <c r="D322" s="44" t="n"/>
      <c r="E322" s="72" t="n"/>
      <c r="F322" s="44" t="n"/>
      <c r="G322" s="44" t="n"/>
      <c r="H322" s="44" t="n"/>
      <c r="I322" s="44" t="n"/>
      <c r="J322" s="9">
        <f>IF(A322="","",TEXT(A322,"MMMM YYYY"))</f>
        <v/>
      </c>
      <c r="K322" s="9">
        <f>IF(A322="","",WEEKNUM(A322))</f>
        <v/>
      </c>
      <c r="L322" s="9">
        <f>IF(A322="","",MONTH(A322))</f>
        <v/>
      </c>
      <c r="M322" s="9">
        <f>IF(A322="","",YEAR(A322))</f>
        <v/>
      </c>
    </row>
    <row r="323">
      <c r="A323" s="47" t="n"/>
      <c r="B323" s="48" t="n"/>
      <c r="C323" s="48" t="n"/>
      <c r="D323" s="48" t="n"/>
      <c r="E323" s="73" t="n"/>
      <c r="F323" s="48" t="n"/>
      <c r="G323" s="48" t="n"/>
      <c r="H323" s="48" t="n"/>
      <c r="I323" s="48" t="n"/>
      <c r="J323" s="12">
        <f>IF(A323="","",TEXT(A323,"MMMM YYYY"))</f>
        <v/>
      </c>
      <c r="K323" s="12">
        <f>IF(A323="","",WEEKNUM(A323))</f>
        <v/>
      </c>
      <c r="L323" s="12">
        <f>IF(A323="","",MONTH(A323))</f>
        <v/>
      </c>
      <c r="M323" s="12">
        <f>IF(A323="","",YEAR(A323))</f>
        <v/>
      </c>
    </row>
    <row r="324">
      <c r="A324" s="43" t="n"/>
      <c r="B324" s="44" t="n"/>
      <c r="C324" s="44" t="n"/>
      <c r="D324" s="44" t="n"/>
      <c r="E324" s="72" t="n"/>
      <c r="F324" s="44" t="n"/>
      <c r="G324" s="44" t="n"/>
      <c r="H324" s="44" t="n"/>
      <c r="I324" s="44" t="n"/>
      <c r="J324" s="9">
        <f>IF(A324="","",TEXT(A324,"MMMM YYYY"))</f>
        <v/>
      </c>
      <c r="K324" s="9">
        <f>IF(A324="","",WEEKNUM(A324))</f>
        <v/>
      </c>
      <c r="L324" s="9">
        <f>IF(A324="","",MONTH(A324))</f>
        <v/>
      </c>
      <c r="M324" s="9">
        <f>IF(A324="","",YEAR(A324))</f>
        <v/>
      </c>
    </row>
    <row r="325">
      <c r="A325" s="47" t="n"/>
      <c r="B325" s="48" t="n"/>
      <c r="C325" s="48" t="n"/>
      <c r="D325" s="48" t="n"/>
      <c r="E325" s="73" t="n"/>
      <c r="F325" s="48" t="n"/>
      <c r="G325" s="48" t="n"/>
      <c r="H325" s="48" t="n"/>
      <c r="I325" s="48" t="n"/>
      <c r="J325" s="12">
        <f>IF(A325="","",TEXT(A325,"MMMM YYYY"))</f>
        <v/>
      </c>
      <c r="K325" s="12">
        <f>IF(A325="","",WEEKNUM(A325))</f>
        <v/>
      </c>
      <c r="L325" s="12">
        <f>IF(A325="","",MONTH(A325))</f>
        <v/>
      </c>
      <c r="M325" s="12">
        <f>IF(A325="","",YEAR(A325))</f>
        <v/>
      </c>
    </row>
    <row r="326">
      <c r="A326" s="43" t="n"/>
      <c r="B326" s="44" t="n"/>
      <c r="C326" s="44" t="n"/>
      <c r="D326" s="44" t="n"/>
      <c r="E326" s="72" t="n"/>
      <c r="F326" s="44" t="n"/>
      <c r="G326" s="44" t="n"/>
      <c r="H326" s="44" t="n"/>
      <c r="I326" s="44" t="n"/>
      <c r="J326" s="9">
        <f>IF(A326="","",TEXT(A326,"MMMM YYYY"))</f>
        <v/>
      </c>
      <c r="K326" s="9">
        <f>IF(A326="","",WEEKNUM(A326))</f>
        <v/>
      </c>
      <c r="L326" s="9">
        <f>IF(A326="","",MONTH(A326))</f>
        <v/>
      </c>
      <c r="M326" s="9">
        <f>IF(A326="","",YEAR(A326))</f>
        <v/>
      </c>
    </row>
    <row r="327">
      <c r="A327" s="47" t="n"/>
      <c r="B327" s="48" t="n"/>
      <c r="C327" s="48" t="n"/>
      <c r="D327" s="48" t="n"/>
      <c r="E327" s="73" t="n"/>
      <c r="F327" s="48" t="n"/>
      <c r="G327" s="48" t="n"/>
      <c r="H327" s="48" t="n"/>
      <c r="I327" s="48" t="n"/>
      <c r="J327" s="12">
        <f>IF(A327="","",TEXT(A327,"MMMM YYYY"))</f>
        <v/>
      </c>
      <c r="K327" s="12">
        <f>IF(A327="","",WEEKNUM(A327))</f>
        <v/>
      </c>
      <c r="L327" s="12">
        <f>IF(A327="","",MONTH(A327))</f>
        <v/>
      </c>
      <c r="M327" s="12">
        <f>IF(A327="","",YEAR(A327))</f>
        <v/>
      </c>
    </row>
    <row r="328">
      <c r="A328" s="43" t="n"/>
      <c r="B328" s="44" t="n"/>
      <c r="C328" s="44" t="n"/>
      <c r="D328" s="44" t="n"/>
      <c r="E328" s="72" t="n"/>
      <c r="F328" s="44" t="n"/>
      <c r="G328" s="44" t="n"/>
      <c r="H328" s="44" t="n"/>
      <c r="I328" s="44" t="n"/>
      <c r="J328" s="9">
        <f>IF(A328="","",TEXT(A328,"MMMM YYYY"))</f>
        <v/>
      </c>
      <c r="K328" s="9">
        <f>IF(A328="","",WEEKNUM(A328))</f>
        <v/>
      </c>
      <c r="L328" s="9">
        <f>IF(A328="","",MONTH(A328))</f>
        <v/>
      </c>
      <c r="M328" s="9">
        <f>IF(A328="","",YEAR(A328))</f>
        <v/>
      </c>
    </row>
    <row r="329">
      <c r="A329" s="47" t="n"/>
      <c r="B329" s="48" t="n"/>
      <c r="C329" s="48" t="n"/>
      <c r="D329" s="48" t="n"/>
      <c r="E329" s="73" t="n"/>
      <c r="F329" s="48" t="n"/>
      <c r="G329" s="48" t="n"/>
      <c r="H329" s="48" t="n"/>
      <c r="I329" s="48" t="n"/>
      <c r="J329" s="12">
        <f>IF(A329="","",TEXT(A329,"MMMM YYYY"))</f>
        <v/>
      </c>
      <c r="K329" s="12">
        <f>IF(A329="","",WEEKNUM(A329))</f>
        <v/>
      </c>
      <c r="L329" s="12">
        <f>IF(A329="","",MONTH(A329))</f>
        <v/>
      </c>
      <c r="M329" s="12">
        <f>IF(A329="","",YEAR(A329))</f>
        <v/>
      </c>
    </row>
    <row r="330">
      <c r="A330" s="43" t="n"/>
      <c r="B330" s="44" t="n"/>
      <c r="C330" s="44" t="n"/>
      <c r="D330" s="44" t="n"/>
      <c r="E330" s="72" t="n"/>
      <c r="F330" s="44" t="n"/>
      <c r="G330" s="44" t="n"/>
      <c r="H330" s="44" t="n"/>
      <c r="I330" s="44" t="n"/>
      <c r="J330" s="9">
        <f>IF(A330="","",TEXT(A330,"MMMM YYYY"))</f>
        <v/>
      </c>
      <c r="K330" s="9">
        <f>IF(A330="","",WEEKNUM(A330))</f>
        <v/>
      </c>
      <c r="L330" s="9">
        <f>IF(A330="","",MONTH(A330))</f>
        <v/>
      </c>
      <c r="M330" s="9">
        <f>IF(A330="","",YEAR(A330))</f>
        <v/>
      </c>
    </row>
    <row r="331">
      <c r="A331" s="47" t="n"/>
      <c r="B331" s="48" t="n"/>
      <c r="C331" s="48" t="n"/>
      <c r="D331" s="48" t="n"/>
      <c r="E331" s="73" t="n"/>
      <c r="F331" s="48" t="n"/>
      <c r="G331" s="48" t="n"/>
      <c r="H331" s="48" t="n"/>
      <c r="I331" s="48" t="n"/>
      <c r="J331" s="12">
        <f>IF(A331="","",TEXT(A331,"MMMM YYYY"))</f>
        <v/>
      </c>
      <c r="K331" s="12">
        <f>IF(A331="","",WEEKNUM(A331))</f>
        <v/>
      </c>
      <c r="L331" s="12">
        <f>IF(A331="","",MONTH(A331))</f>
        <v/>
      </c>
      <c r="M331" s="12">
        <f>IF(A331="","",YEAR(A331))</f>
        <v/>
      </c>
    </row>
    <row r="332">
      <c r="A332" s="43" t="n"/>
      <c r="B332" s="44" t="n"/>
      <c r="C332" s="44" t="n"/>
      <c r="D332" s="44" t="n"/>
      <c r="E332" s="72" t="n"/>
      <c r="F332" s="44" t="n"/>
      <c r="G332" s="44" t="n"/>
      <c r="H332" s="44" t="n"/>
      <c r="I332" s="44" t="n"/>
      <c r="J332" s="9">
        <f>IF(A332="","",TEXT(A332,"MMMM YYYY"))</f>
        <v/>
      </c>
      <c r="K332" s="9">
        <f>IF(A332="","",WEEKNUM(A332))</f>
        <v/>
      </c>
      <c r="L332" s="9">
        <f>IF(A332="","",MONTH(A332))</f>
        <v/>
      </c>
      <c r="M332" s="9">
        <f>IF(A332="","",YEAR(A332))</f>
        <v/>
      </c>
    </row>
    <row r="333">
      <c r="A333" s="47" t="n"/>
      <c r="B333" s="48" t="n"/>
      <c r="C333" s="48" t="n"/>
      <c r="D333" s="48" t="n"/>
      <c r="E333" s="73" t="n"/>
      <c r="F333" s="48" t="n"/>
      <c r="G333" s="48" t="n"/>
      <c r="H333" s="48" t="n"/>
      <c r="I333" s="48" t="n"/>
      <c r="J333" s="12">
        <f>IF(A333="","",TEXT(A333,"MMMM YYYY"))</f>
        <v/>
      </c>
      <c r="K333" s="12">
        <f>IF(A333="","",WEEKNUM(A333))</f>
        <v/>
      </c>
      <c r="L333" s="12">
        <f>IF(A333="","",MONTH(A333))</f>
        <v/>
      </c>
      <c r="M333" s="12">
        <f>IF(A333="","",YEAR(A333))</f>
        <v/>
      </c>
    </row>
    <row r="334">
      <c r="A334" s="43" t="n"/>
      <c r="B334" s="44" t="n"/>
      <c r="C334" s="44" t="n"/>
      <c r="D334" s="44" t="n"/>
      <c r="E334" s="72" t="n"/>
      <c r="F334" s="44" t="n"/>
      <c r="G334" s="44" t="n"/>
      <c r="H334" s="44" t="n"/>
      <c r="I334" s="44" t="n"/>
      <c r="J334" s="9">
        <f>IF(A334="","",TEXT(A334,"MMMM YYYY"))</f>
        <v/>
      </c>
      <c r="K334" s="9">
        <f>IF(A334="","",WEEKNUM(A334))</f>
        <v/>
      </c>
      <c r="L334" s="9">
        <f>IF(A334="","",MONTH(A334))</f>
        <v/>
      </c>
      <c r="M334" s="9">
        <f>IF(A334="","",YEAR(A334))</f>
        <v/>
      </c>
    </row>
    <row r="335">
      <c r="A335" s="47" t="n"/>
      <c r="B335" s="48" t="n"/>
      <c r="C335" s="48" t="n"/>
      <c r="D335" s="48" t="n"/>
      <c r="E335" s="73" t="n"/>
      <c r="F335" s="48" t="n"/>
      <c r="G335" s="48" t="n"/>
      <c r="H335" s="48" t="n"/>
      <c r="I335" s="48" t="n"/>
      <c r="J335" s="12">
        <f>IF(A335="","",TEXT(A335,"MMMM YYYY"))</f>
        <v/>
      </c>
      <c r="K335" s="12">
        <f>IF(A335="","",WEEKNUM(A335))</f>
        <v/>
      </c>
      <c r="L335" s="12">
        <f>IF(A335="","",MONTH(A335))</f>
        <v/>
      </c>
      <c r="M335" s="12">
        <f>IF(A335="","",YEAR(A335))</f>
        <v/>
      </c>
    </row>
    <row r="336">
      <c r="A336" s="43" t="n"/>
      <c r="B336" s="44" t="n"/>
      <c r="C336" s="44" t="n"/>
      <c r="D336" s="44" t="n"/>
      <c r="E336" s="72" t="n"/>
      <c r="F336" s="44" t="n"/>
      <c r="G336" s="44" t="n"/>
      <c r="H336" s="44" t="n"/>
      <c r="I336" s="44" t="n"/>
      <c r="J336" s="9">
        <f>IF(A336="","",TEXT(A336,"MMMM YYYY"))</f>
        <v/>
      </c>
      <c r="K336" s="9">
        <f>IF(A336="","",WEEKNUM(A336))</f>
        <v/>
      </c>
      <c r="L336" s="9">
        <f>IF(A336="","",MONTH(A336))</f>
        <v/>
      </c>
      <c r="M336" s="9">
        <f>IF(A336="","",YEAR(A336))</f>
        <v/>
      </c>
    </row>
    <row r="337">
      <c r="A337" s="47" t="n"/>
      <c r="B337" s="48" t="n"/>
      <c r="C337" s="48" t="n"/>
      <c r="D337" s="48" t="n"/>
      <c r="E337" s="73" t="n"/>
      <c r="F337" s="48" t="n"/>
      <c r="G337" s="48" t="n"/>
      <c r="H337" s="48" t="n"/>
      <c r="I337" s="48" t="n"/>
      <c r="J337" s="12">
        <f>IF(A337="","",TEXT(A337,"MMMM YYYY"))</f>
        <v/>
      </c>
      <c r="K337" s="12">
        <f>IF(A337="","",WEEKNUM(A337))</f>
        <v/>
      </c>
      <c r="L337" s="12">
        <f>IF(A337="","",MONTH(A337))</f>
        <v/>
      </c>
      <c r="M337" s="12">
        <f>IF(A337="","",YEAR(A337))</f>
        <v/>
      </c>
    </row>
    <row r="338">
      <c r="A338" s="43" t="n"/>
      <c r="B338" s="44" t="n"/>
      <c r="C338" s="44" t="n"/>
      <c r="D338" s="44" t="n"/>
      <c r="E338" s="72" t="n"/>
      <c r="F338" s="44" t="n"/>
      <c r="G338" s="44" t="n"/>
      <c r="H338" s="44" t="n"/>
      <c r="I338" s="44" t="n"/>
      <c r="J338" s="9">
        <f>IF(A338="","",TEXT(A338,"MMMM YYYY"))</f>
        <v/>
      </c>
      <c r="K338" s="9">
        <f>IF(A338="","",WEEKNUM(A338))</f>
        <v/>
      </c>
      <c r="L338" s="9">
        <f>IF(A338="","",MONTH(A338))</f>
        <v/>
      </c>
      <c r="M338" s="9">
        <f>IF(A338="","",YEAR(A338))</f>
        <v/>
      </c>
    </row>
    <row r="339">
      <c r="A339" s="47" t="n"/>
      <c r="B339" s="48" t="n"/>
      <c r="C339" s="48" t="n"/>
      <c r="D339" s="48" t="n"/>
      <c r="E339" s="73" t="n"/>
      <c r="F339" s="48" t="n"/>
      <c r="G339" s="48" t="n"/>
      <c r="H339" s="48" t="n"/>
      <c r="I339" s="48" t="n"/>
      <c r="J339" s="12">
        <f>IF(A339="","",TEXT(A339,"MMMM YYYY"))</f>
        <v/>
      </c>
      <c r="K339" s="12">
        <f>IF(A339="","",WEEKNUM(A339))</f>
        <v/>
      </c>
      <c r="L339" s="12">
        <f>IF(A339="","",MONTH(A339))</f>
        <v/>
      </c>
      <c r="M339" s="12">
        <f>IF(A339="","",YEAR(A339))</f>
        <v/>
      </c>
    </row>
    <row r="340">
      <c r="A340" s="43" t="n"/>
      <c r="B340" s="44" t="n"/>
      <c r="C340" s="44" t="n"/>
      <c r="D340" s="44" t="n"/>
      <c r="E340" s="72" t="n"/>
      <c r="F340" s="44" t="n"/>
      <c r="G340" s="44" t="n"/>
      <c r="H340" s="44" t="n"/>
      <c r="I340" s="44" t="n"/>
      <c r="J340" s="9">
        <f>IF(A340="","",TEXT(A340,"MMMM YYYY"))</f>
        <v/>
      </c>
      <c r="K340" s="9">
        <f>IF(A340="","",WEEKNUM(A340))</f>
        <v/>
      </c>
      <c r="L340" s="9">
        <f>IF(A340="","",MONTH(A340))</f>
        <v/>
      </c>
      <c r="M340" s="9">
        <f>IF(A340="","",YEAR(A340))</f>
        <v/>
      </c>
    </row>
    <row r="341">
      <c r="A341" s="47" t="n"/>
      <c r="B341" s="48" t="n"/>
      <c r="C341" s="48" t="n"/>
      <c r="D341" s="48" t="n"/>
      <c r="E341" s="73" t="n"/>
      <c r="F341" s="48" t="n"/>
      <c r="G341" s="48" t="n"/>
      <c r="H341" s="48" t="n"/>
      <c r="I341" s="48" t="n"/>
      <c r="J341" s="12">
        <f>IF(A341="","",TEXT(A341,"MMMM YYYY"))</f>
        <v/>
      </c>
      <c r="K341" s="12">
        <f>IF(A341="","",WEEKNUM(A341))</f>
        <v/>
      </c>
      <c r="L341" s="12">
        <f>IF(A341="","",MONTH(A341))</f>
        <v/>
      </c>
      <c r="M341" s="12">
        <f>IF(A341="","",YEAR(A341))</f>
        <v/>
      </c>
    </row>
    <row r="342">
      <c r="A342" s="43" t="n"/>
      <c r="B342" s="44" t="n"/>
      <c r="C342" s="44" t="n"/>
      <c r="D342" s="44" t="n"/>
      <c r="E342" s="72" t="n"/>
      <c r="F342" s="44" t="n"/>
      <c r="G342" s="44" t="n"/>
      <c r="H342" s="44" t="n"/>
      <c r="I342" s="44" t="n"/>
      <c r="J342" s="9">
        <f>IF(A342="","",TEXT(A342,"MMMM YYYY"))</f>
        <v/>
      </c>
      <c r="K342" s="9">
        <f>IF(A342="","",WEEKNUM(A342))</f>
        <v/>
      </c>
      <c r="L342" s="9">
        <f>IF(A342="","",MONTH(A342))</f>
        <v/>
      </c>
      <c r="M342" s="9">
        <f>IF(A342="","",YEAR(A342))</f>
        <v/>
      </c>
    </row>
    <row r="343">
      <c r="A343" s="47" t="n"/>
      <c r="B343" s="48" t="n"/>
      <c r="C343" s="48" t="n"/>
      <c r="D343" s="48" t="n"/>
      <c r="E343" s="73" t="n"/>
      <c r="F343" s="48" t="n"/>
      <c r="G343" s="48" t="n"/>
      <c r="H343" s="48" t="n"/>
      <c r="I343" s="48" t="n"/>
      <c r="J343" s="12">
        <f>IF(A343="","",TEXT(A343,"MMMM YYYY"))</f>
        <v/>
      </c>
      <c r="K343" s="12">
        <f>IF(A343="","",WEEKNUM(A343))</f>
        <v/>
      </c>
      <c r="L343" s="12">
        <f>IF(A343="","",MONTH(A343))</f>
        <v/>
      </c>
      <c r="M343" s="12">
        <f>IF(A343="","",YEAR(A343))</f>
        <v/>
      </c>
    </row>
    <row r="344">
      <c r="A344" s="43" t="n"/>
      <c r="B344" s="44" t="n"/>
      <c r="C344" s="44" t="n"/>
      <c r="D344" s="44" t="n"/>
      <c r="E344" s="72" t="n"/>
      <c r="F344" s="44" t="n"/>
      <c r="G344" s="44" t="n"/>
      <c r="H344" s="44" t="n"/>
      <c r="I344" s="44" t="n"/>
      <c r="J344" s="9">
        <f>IF(A344="","",TEXT(A344,"MMMM YYYY"))</f>
        <v/>
      </c>
      <c r="K344" s="9">
        <f>IF(A344="","",WEEKNUM(A344))</f>
        <v/>
      </c>
      <c r="L344" s="9">
        <f>IF(A344="","",MONTH(A344))</f>
        <v/>
      </c>
      <c r="M344" s="9">
        <f>IF(A344="","",YEAR(A344))</f>
        <v/>
      </c>
    </row>
    <row r="345">
      <c r="A345" s="47" t="n"/>
      <c r="B345" s="48" t="n"/>
      <c r="C345" s="48" t="n"/>
      <c r="D345" s="48" t="n"/>
      <c r="E345" s="73" t="n"/>
      <c r="F345" s="48" t="n"/>
      <c r="G345" s="48" t="n"/>
      <c r="H345" s="48" t="n"/>
      <c r="I345" s="48" t="n"/>
      <c r="J345" s="12">
        <f>IF(A345="","",TEXT(A345,"MMMM YYYY"))</f>
        <v/>
      </c>
      <c r="K345" s="12">
        <f>IF(A345="","",WEEKNUM(A345))</f>
        <v/>
      </c>
      <c r="L345" s="12">
        <f>IF(A345="","",MONTH(A345))</f>
        <v/>
      </c>
      <c r="M345" s="12">
        <f>IF(A345="","",YEAR(A345))</f>
        <v/>
      </c>
    </row>
    <row r="346">
      <c r="A346" s="43" t="n"/>
      <c r="B346" s="44" t="n"/>
      <c r="C346" s="44" t="n"/>
      <c r="D346" s="44" t="n"/>
      <c r="E346" s="72" t="n"/>
      <c r="F346" s="44" t="n"/>
      <c r="G346" s="44" t="n"/>
      <c r="H346" s="44" t="n"/>
      <c r="I346" s="44" t="n"/>
      <c r="J346" s="9">
        <f>IF(A346="","",TEXT(A346,"MMMM YYYY"))</f>
        <v/>
      </c>
      <c r="K346" s="9">
        <f>IF(A346="","",WEEKNUM(A346))</f>
        <v/>
      </c>
      <c r="L346" s="9">
        <f>IF(A346="","",MONTH(A346))</f>
        <v/>
      </c>
      <c r="M346" s="9">
        <f>IF(A346="","",YEAR(A346))</f>
        <v/>
      </c>
    </row>
    <row r="347">
      <c r="A347" s="47" t="n"/>
      <c r="B347" s="48" t="n"/>
      <c r="C347" s="48" t="n"/>
      <c r="D347" s="48" t="n"/>
      <c r="E347" s="73" t="n"/>
      <c r="F347" s="48" t="n"/>
      <c r="G347" s="48" t="n"/>
      <c r="H347" s="48" t="n"/>
      <c r="I347" s="48" t="n"/>
      <c r="J347" s="12">
        <f>IF(A347="","",TEXT(A347,"MMMM YYYY"))</f>
        <v/>
      </c>
      <c r="K347" s="12">
        <f>IF(A347="","",WEEKNUM(A347))</f>
        <v/>
      </c>
      <c r="L347" s="12">
        <f>IF(A347="","",MONTH(A347))</f>
        <v/>
      </c>
      <c r="M347" s="12">
        <f>IF(A347="","",YEAR(A347))</f>
        <v/>
      </c>
    </row>
    <row r="348">
      <c r="A348" s="43" t="n"/>
      <c r="B348" s="44" t="n"/>
      <c r="C348" s="44" t="n"/>
      <c r="D348" s="44" t="n"/>
      <c r="E348" s="72" t="n"/>
      <c r="F348" s="44" t="n"/>
      <c r="G348" s="44" t="n"/>
      <c r="H348" s="44" t="n"/>
      <c r="I348" s="44" t="n"/>
      <c r="J348" s="9">
        <f>IF(A348="","",TEXT(A348,"MMMM YYYY"))</f>
        <v/>
      </c>
      <c r="K348" s="9">
        <f>IF(A348="","",WEEKNUM(A348))</f>
        <v/>
      </c>
      <c r="L348" s="9">
        <f>IF(A348="","",MONTH(A348))</f>
        <v/>
      </c>
      <c r="M348" s="9">
        <f>IF(A348="","",YEAR(A348))</f>
        <v/>
      </c>
    </row>
    <row r="349">
      <c r="A349" s="47" t="n"/>
      <c r="B349" s="48" t="n"/>
      <c r="C349" s="48" t="n"/>
      <c r="D349" s="48" t="n"/>
      <c r="E349" s="73" t="n"/>
      <c r="F349" s="48" t="n"/>
      <c r="G349" s="48" t="n"/>
      <c r="H349" s="48" t="n"/>
      <c r="I349" s="48" t="n"/>
      <c r="J349" s="12">
        <f>IF(A349="","",TEXT(A349,"MMMM YYYY"))</f>
        <v/>
      </c>
      <c r="K349" s="12">
        <f>IF(A349="","",WEEKNUM(A349))</f>
        <v/>
      </c>
      <c r="L349" s="12">
        <f>IF(A349="","",MONTH(A349))</f>
        <v/>
      </c>
      <c r="M349" s="12">
        <f>IF(A349="","",YEAR(A349))</f>
        <v/>
      </c>
    </row>
    <row r="350">
      <c r="A350" s="43" t="n"/>
      <c r="B350" s="44" t="n"/>
      <c r="C350" s="44" t="n"/>
      <c r="D350" s="44" t="n"/>
      <c r="E350" s="72" t="n"/>
      <c r="F350" s="44" t="n"/>
      <c r="G350" s="44" t="n"/>
      <c r="H350" s="44" t="n"/>
      <c r="I350" s="44" t="n"/>
      <c r="J350" s="9">
        <f>IF(A350="","",TEXT(A350,"MMMM YYYY"))</f>
        <v/>
      </c>
      <c r="K350" s="9">
        <f>IF(A350="","",WEEKNUM(A350))</f>
        <v/>
      </c>
      <c r="L350" s="9">
        <f>IF(A350="","",MONTH(A350))</f>
        <v/>
      </c>
      <c r="M350" s="9">
        <f>IF(A350="","",YEAR(A350))</f>
        <v/>
      </c>
    </row>
    <row r="351">
      <c r="A351" s="47" t="n"/>
      <c r="B351" s="48" t="n"/>
      <c r="C351" s="48" t="n"/>
      <c r="D351" s="48" t="n"/>
      <c r="E351" s="73" t="n"/>
      <c r="F351" s="48" t="n"/>
      <c r="G351" s="48" t="n"/>
      <c r="H351" s="48" t="n"/>
      <c r="I351" s="48" t="n"/>
      <c r="J351" s="12">
        <f>IF(A351="","",TEXT(A351,"MMMM YYYY"))</f>
        <v/>
      </c>
      <c r="K351" s="12">
        <f>IF(A351="","",WEEKNUM(A351))</f>
        <v/>
      </c>
      <c r="L351" s="12">
        <f>IF(A351="","",MONTH(A351))</f>
        <v/>
      </c>
      <c r="M351" s="12">
        <f>IF(A351="","",YEAR(A351))</f>
        <v/>
      </c>
    </row>
    <row r="352">
      <c r="A352" s="43" t="n"/>
      <c r="B352" s="44" t="n"/>
      <c r="C352" s="44" t="n"/>
      <c r="D352" s="44" t="n"/>
      <c r="E352" s="72" t="n"/>
      <c r="F352" s="44" t="n"/>
      <c r="G352" s="44" t="n"/>
      <c r="H352" s="44" t="n"/>
      <c r="I352" s="44" t="n"/>
      <c r="J352" s="9">
        <f>IF(A352="","",TEXT(A352,"MMMM YYYY"))</f>
        <v/>
      </c>
      <c r="K352" s="9">
        <f>IF(A352="","",WEEKNUM(A352))</f>
        <v/>
      </c>
      <c r="L352" s="9">
        <f>IF(A352="","",MONTH(A352))</f>
        <v/>
      </c>
      <c r="M352" s="9">
        <f>IF(A352="","",YEAR(A352))</f>
        <v/>
      </c>
    </row>
    <row r="353">
      <c r="A353" s="47" t="n"/>
      <c r="B353" s="48" t="n"/>
      <c r="C353" s="48" t="n"/>
      <c r="D353" s="48" t="n"/>
      <c r="E353" s="73" t="n"/>
      <c r="F353" s="48" t="n"/>
      <c r="G353" s="48" t="n"/>
      <c r="H353" s="48" t="n"/>
      <c r="I353" s="48" t="n"/>
      <c r="J353" s="12">
        <f>IF(A353="","",TEXT(A353,"MMMM YYYY"))</f>
        <v/>
      </c>
      <c r="K353" s="12">
        <f>IF(A353="","",WEEKNUM(A353))</f>
        <v/>
      </c>
      <c r="L353" s="12">
        <f>IF(A353="","",MONTH(A353))</f>
        <v/>
      </c>
      <c r="M353" s="12">
        <f>IF(A353="","",YEAR(A353))</f>
        <v/>
      </c>
    </row>
    <row r="354">
      <c r="A354" s="43" t="n"/>
      <c r="B354" s="44" t="n"/>
      <c r="C354" s="44" t="n"/>
      <c r="D354" s="44" t="n"/>
      <c r="E354" s="72" t="n"/>
      <c r="F354" s="44" t="n"/>
      <c r="G354" s="44" t="n"/>
      <c r="H354" s="44" t="n"/>
      <c r="I354" s="44" t="n"/>
      <c r="J354" s="9">
        <f>IF(A354="","",TEXT(A354,"MMMM YYYY"))</f>
        <v/>
      </c>
      <c r="K354" s="9">
        <f>IF(A354="","",WEEKNUM(A354))</f>
        <v/>
      </c>
      <c r="L354" s="9">
        <f>IF(A354="","",MONTH(A354))</f>
        <v/>
      </c>
      <c r="M354" s="9">
        <f>IF(A354="","",YEAR(A354))</f>
        <v/>
      </c>
    </row>
    <row r="355">
      <c r="A355" s="47" t="n"/>
      <c r="B355" s="48" t="n"/>
      <c r="C355" s="48" t="n"/>
      <c r="D355" s="48" t="n"/>
      <c r="E355" s="73" t="n"/>
      <c r="F355" s="48" t="n"/>
      <c r="G355" s="48" t="n"/>
      <c r="H355" s="48" t="n"/>
      <c r="I355" s="48" t="n"/>
      <c r="J355" s="12">
        <f>IF(A355="","",TEXT(A355,"MMMM YYYY"))</f>
        <v/>
      </c>
      <c r="K355" s="12">
        <f>IF(A355="","",WEEKNUM(A355))</f>
        <v/>
      </c>
      <c r="L355" s="12">
        <f>IF(A355="","",MONTH(A355))</f>
        <v/>
      </c>
      <c r="M355" s="12">
        <f>IF(A355="","",YEAR(A355))</f>
        <v/>
      </c>
    </row>
    <row r="356">
      <c r="A356" s="43" t="n"/>
      <c r="B356" s="44" t="n"/>
      <c r="C356" s="44" t="n"/>
      <c r="D356" s="44" t="n"/>
      <c r="E356" s="72" t="n"/>
      <c r="F356" s="44" t="n"/>
      <c r="G356" s="44" t="n"/>
      <c r="H356" s="44" t="n"/>
      <c r="I356" s="44" t="n"/>
      <c r="J356" s="9">
        <f>IF(A356="","",TEXT(A356,"MMMM YYYY"))</f>
        <v/>
      </c>
      <c r="K356" s="9">
        <f>IF(A356="","",WEEKNUM(A356))</f>
        <v/>
      </c>
      <c r="L356" s="9">
        <f>IF(A356="","",MONTH(A356))</f>
        <v/>
      </c>
      <c r="M356" s="9">
        <f>IF(A356="","",YEAR(A356))</f>
        <v/>
      </c>
    </row>
    <row r="357">
      <c r="A357" s="47" t="n"/>
      <c r="B357" s="48" t="n"/>
      <c r="C357" s="48" t="n"/>
      <c r="D357" s="48" t="n"/>
      <c r="E357" s="73" t="n"/>
      <c r="F357" s="48" t="n"/>
      <c r="G357" s="48" t="n"/>
      <c r="H357" s="48" t="n"/>
      <c r="I357" s="48" t="n"/>
      <c r="J357" s="12">
        <f>IF(A357="","",TEXT(A357,"MMMM YYYY"))</f>
        <v/>
      </c>
      <c r="K357" s="12">
        <f>IF(A357="","",WEEKNUM(A357))</f>
        <v/>
      </c>
      <c r="L357" s="12">
        <f>IF(A357="","",MONTH(A357))</f>
        <v/>
      </c>
      <c r="M357" s="12">
        <f>IF(A357="","",YEAR(A357))</f>
        <v/>
      </c>
    </row>
    <row r="358">
      <c r="A358" s="43" t="n"/>
      <c r="B358" s="44" t="n"/>
      <c r="C358" s="44" t="n"/>
      <c r="D358" s="44" t="n"/>
      <c r="E358" s="72" t="n"/>
      <c r="F358" s="44" t="n"/>
      <c r="G358" s="44" t="n"/>
      <c r="H358" s="44" t="n"/>
      <c r="I358" s="44" t="n"/>
      <c r="J358" s="9">
        <f>IF(A358="","",TEXT(A358,"MMMM YYYY"))</f>
        <v/>
      </c>
      <c r="K358" s="9">
        <f>IF(A358="","",WEEKNUM(A358))</f>
        <v/>
      </c>
      <c r="L358" s="9">
        <f>IF(A358="","",MONTH(A358))</f>
        <v/>
      </c>
      <c r="M358" s="9">
        <f>IF(A358="","",YEAR(A358))</f>
        <v/>
      </c>
    </row>
    <row r="359">
      <c r="A359" s="47" t="n"/>
      <c r="B359" s="48" t="n"/>
      <c r="C359" s="48" t="n"/>
      <c r="D359" s="48" t="n"/>
      <c r="E359" s="73" t="n"/>
      <c r="F359" s="48" t="n"/>
      <c r="G359" s="48" t="n"/>
      <c r="H359" s="48" t="n"/>
      <c r="I359" s="48" t="n"/>
      <c r="J359" s="12">
        <f>IF(A359="","",TEXT(A359,"MMMM YYYY"))</f>
        <v/>
      </c>
      <c r="K359" s="12">
        <f>IF(A359="","",WEEKNUM(A359))</f>
        <v/>
      </c>
      <c r="L359" s="12">
        <f>IF(A359="","",MONTH(A359))</f>
        <v/>
      </c>
      <c r="M359" s="12">
        <f>IF(A359="","",YEAR(A359))</f>
        <v/>
      </c>
    </row>
    <row r="360">
      <c r="A360" s="43" t="n"/>
      <c r="B360" s="44" t="n"/>
      <c r="C360" s="44" t="n"/>
      <c r="D360" s="44" t="n"/>
      <c r="E360" s="72" t="n"/>
      <c r="F360" s="44" t="n"/>
      <c r="G360" s="44" t="n"/>
      <c r="H360" s="44" t="n"/>
      <c r="I360" s="44" t="n"/>
      <c r="J360" s="9">
        <f>IF(A360="","",TEXT(A360,"MMMM YYYY"))</f>
        <v/>
      </c>
      <c r="K360" s="9">
        <f>IF(A360="","",WEEKNUM(A360))</f>
        <v/>
      </c>
      <c r="L360" s="9">
        <f>IF(A360="","",MONTH(A360))</f>
        <v/>
      </c>
      <c r="M360" s="9">
        <f>IF(A360="","",YEAR(A360))</f>
        <v/>
      </c>
    </row>
    <row r="361">
      <c r="A361" s="47" t="n"/>
      <c r="B361" s="48" t="n"/>
      <c r="C361" s="48" t="n"/>
      <c r="D361" s="48" t="n"/>
      <c r="E361" s="73" t="n"/>
      <c r="F361" s="48" t="n"/>
      <c r="G361" s="48" t="n"/>
      <c r="H361" s="48" t="n"/>
      <c r="I361" s="48" t="n"/>
      <c r="J361" s="12">
        <f>IF(A361="","",TEXT(A361,"MMMM YYYY"))</f>
        <v/>
      </c>
      <c r="K361" s="12">
        <f>IF(A361="","",WEEKNUM(A361))</f>
        <v/>
      </c>
      <c r="L361" s="12">
        <f>IF(A361="","",MONTH(A361))</f>
        <v/>
      </c>
      <c r="M361" s="12">
        <f>IF(A361="","",YEAR(A361))</f>
        <v/>
      </c>
    </row>
    <row r="362">
      <c r="A362" s="43" t="n"/>
      <c r="B362" s="44" t="n"/>
      <c r="C362" s="44" t="n"/>
      <c r="D362" s="44" t="n"/>
      <c r="E362" s="72" t="n"/>
      <c r="F362" s="44" t="n"/>
      <c r="G362" s="44" t="n"/>
      <c r="H362" s="44" t="n"/>
      <c r="I362" s="44" t="n"/>
      <c r="J362" s="9">
        <f>IF(A362="","",TEXT(A362,"MMMM YYYY"))</f>
        <v/>
      </c>
      <c r="K362" s="9">
        <f>IF(A362="","",WEEKNUM(A362))</f>
        <v/>
      </c>
      <c r="L362" s="9">
        <f>IF(A362="","",MONTH(A362))</f>
        <v/>
      </c>
      <c r="M362" s="9">
        <f>IF(A362="","",YEAR(A362))</f>
        <v/>
      </c>
    </row>
    <row r="363">
      <c r="A363" s="47" t="n"/>
      <c r="B363" s="48" t="n"/>
      <c r="C363" s="48" t="n"/>
      <c r="D363" s="48" t="n"/>
      <c r="E363" s="73" t="n"/>
      <c r="F363" s="48" t="n"/>
      <c r="G363" s="48" t="n"/>
      <c r="H363" s="48" t="n"/>
      <c r="I363" s="48" t="n"/>
      <c r="J363" s="12">
        <f>IF(A363="","",TEXT(A363,"MMMM YYYY"))</f>
        <v/>
      </c>
      <c r="K363" s="12">
        <f>IF(A363="","",WEEKNUM(A363))</f>
        <v/>
      </c>
      <c r="L363" s="12">
        <f>IF(A363="","",MONTH(A363))</f>
        <v/>
      </c>
      <c r="M363" s="12">
        <f>IF(A363="","",YEAR(A363))</f>
        <v/>
      </c>
    </row>
    <row r="364">
      <c r="A364" s="43" t="n"/>
      <c r="B364" s="44" t="n"/>
      <c r="C364" s="44" t="n"/>
      <c r="D364" s="44" t="n"/>
      <c r="E364" s="72" t="n"/>
      <c r="F364" s="44" t="n"/>
      <c r="G364" s="44" t="n"/>
      <c r="H364" s="44" t="n"/>
      <c r="I364" s="44" t="n"/>
      <c r="J364" s="9">
        <f>IF(A364="","",TEXT(A364,"MMMM YYYY"))</f>
        <v/>
      </c>
      <c r="K364" s="9">
        <f>IF(A364="","",WEEKNUM(A364))</f>
        <v/>
      </c>
      <c r="L364" s="9">
        <f>IF(A364="","",MONTH(A364))</f>
        <v/>
      </c>
      <c r="M364" s="9">
        <f>IF(A364="","",YEAR(A364))</f>
        <v/>
      </c>
    </row>
    <row r="365">
      <c r="A365" s="47" t="n"/>
      <c r="B365" s="48" t="n"/>
      <c r="C365" s="48" t="n"/>
      <c r="D365" s="48" t="n"/>
      <c r="E365" s="73" t="n"/>
      <c r="F365" s="48" t="n"/>
      <c r="G365" s="48" t="n"/>
      <c r="H365" s="48" t="n"/>
      <c r="I365" s="48" t="n"/>
      <c r="J365" s="12">
        <f>IF(A365="","",TEXT(A365,"MMMM YYYY"))</f>
        <v/>
      </c>
      <c r="K365" s="12">
        <f>IF(A365="","",WEEKNUM(A365))</f>
        <v/>
      </c>
      <c r="L365" s="12">
        <f>IF(A365="","",MONTH(A365))</f>
        <v/>
      </c>
      <c r="M365" s="12">
        <f>IF(A365="","",YEAR(A365))</f>
        <v/>
      </c>
    </row>
    <row r="366">
      <c r="A366" s="43" t="n"/>
      <c r="B366" s="44" t="n"/>
      <c r="C366" s="44" t="n"/>
      <c r="D366" s="44" t="n"/>
      <c r="E366" s="72" t="n"/>
      <c r="F366" s="44" t="n"/>
      <c r="G366" s="44" t="n"/>
      <c r="H366" s="44" t="n"/>
      <c r="I366" s="44" t="n"/>
      <c r="J366" s="9">
        <f>IF(A366="","",TEXT(A366,"MMMM YYYY"))</f>
        <v/>
      </c>
      <c r="K366" s="9">
        <f>IF(A366="","",WEEKNUM(A366))</f>
        <v/>
      </c>
      <c r="L366" s="9">
        <f>IF(A366="","",MONTH(A366))</f>
        <v/>
      </c>
      <c r="M366" s="9">
        <f>IF(A366="","",YEAR(A366))</f>
        <v/>
      </c>
    </row>
    <row r="367">
      <c r="A367" s="47" t="n"/>
      <c r="B367" s="48" t="n"/>
      <c r="C367" s="48" t="n"/>
      <c r="D367" s="48" t="n"/>
      <c r="E367" s="73" t="n"/>
      <c r="F367" s="48" t="n"/>
      <c r="G367" s="48" t="n"/>
      <c r="H367" s="48" t="n"/>
      <c r="I367" s="48" t="n"/>
      <c r="J367" s="12">
        <f>IF(A367="","",TEXT(A367,"MMMM YYYY"))</f>
        <v/>
      </c>
      <c r="K367" s="12">
        <f>IF(A367="","",WEEKNUM(A367))</f>
        <v/>
      </c>
      <c r="L367" s="12">
        <f>IF(A367="","",MONTH(A367))</f>
        <v/>
      </c>
      <c r="M367" s="12">
        <f>IF(A367="","",YEAR(A367))</f>
        <v/>
      </c>
    </row>
    <row r="368">
      <c r="A368" s="43" t="n"/>
      <c r="B368" s="44" t="n"/>
      <c r="C368" s="44" t="n"/>
      <c r="D368" s="44" t="n"/>
      <c r="E368" s="72" t="n"/>
      <c r="F368" s="44" t="n"/>
      <c r="G368" s="44" t="n"/>
      <c r="H368" s="44" t="n"/>
      <c r="I368" s="44" t="n"/>
      <c r="J368" s="9">
        <f>IF(A368="","",TEXT(A368,"MMMM YYYY"))</f>
        <v/>
      </c>
      <c r="K368" s="9">
        <f>IF(A368="","",WEEKNUM(A368))</f>
        <v/>
      </c>
      <c r="L368" s="9">
        <f>IF(A368="","",MONTH(A368))</f>
        <v/>
      </c>
      <c r="M368" s="9">
        <f>IF(A368="","",YEAR(A368))</f>
        <v/>
      </c>
    </row>
    <row r="369">
      <c r="A369" s="47" t="n"/>
      <c r="B369" s="48" t="n"/>
      <c r="C369" s="48" t="n"/>
      <c r="D369" s="48" t="n"/>
      <c r="E369" s="73" t="n"/>
      <c r="F369" s="48" t="n"/>
      <c r="G369" s="48" t="n"/>
      <c r="H369" s="48" t="n"/>
      <c r="I369" s="48" t="n"/>
      <c r="J369" s="12">
        <f>IF(A369="","",TEXT(A369,"MMMM YYYY"))</f>
        <v/>
      </c>
      <c r="K369" s="12">
        <f>IF(A369="","",WEEKNUM(A369))</f>
        <v/>
      </c>
      <c r="L369" s="12">
        <f>IF(A369="","",MONTH(A369))</f>
        <v/>
      </c>
      <c r="M369" s="12">
        <f>IF(A369="","",YEAR(A369))</f>
        <v/>
      </c>
    </row>
    <row r="370">
      <c r="A370" s="43" t="n"/>
      <c r="B370" s="44" t="n"/>
      <c r="C370" s="44" t="n"/>
      <c r="D370" s="44" t="n"/>
      <c r="E370" s="72" t="n"/>
      <c r="F370" s="44" t="n"/>
      <c r="G370" s="44" t="n"/>
      <c r="H370" s="44" t="n"/>
      <c r="I370" s="44" t="n"/>
      <c r="J370" s="9">
        <f>IF(A370="","",TEXT(A370,"MMMM YYYY"))</f>
        <v/>
      </c>
      <c r="K370" s="9">
        <f>IF(A370="","",WEEKNUM(A370))</f>
        <v/>
      </c>
      <c r="L370" s="9">
        <f>IF(A370="","",MONTH(A370))</f>
        <v/>
      </c>
      <c r="M370" s="9">
        <f>IF(A370="","",YEAR(A370))</f>
        <v/>
      </c>
    </row>
    <row r="371">
      <c r="A371" s="47" t="n"/>
      <c r="B371" s="48" t="n"/>
      <c r="C371" s="48" t="n"/>
      <c r="D371" s="48" t="n"/>
      <c r="E371" s="73" t="n"/>
      <c r="F371" s="48" t="n"/>
      <c r="G371" s="48" t="n"/>
      <c r="H371" s="48" t="n"/>
      <c r="I371" s="48" t="n"/>
      <c r="J371" s="12">
        <f>IF(A371="","",TEXT(A371,"MMMM YYYY"))</f>
        <v/>
      </c>
      <c r="K371" s="12">
        <f>IF(A371="","",WEEKNUM(A371))</f>
        <v/>
      </c>
      <c r="L371" s="12">
        <f>IF(A371="","",MONTH(A371))</f>
        <v/>
      </c>
      <c r="M371" s="12">
        <f>IF(A371="","",YEAR(A371))</f>
        <v/>
      </c>
    </row>
    <row r="372">
      <c r="A372" s="43" t="n"/>
      <c r="B372" s="44" t="n"/>
      <c r="C372" s="44" t="n"/>
      <c r="D372" s="44" t="n"/>
      <c r="E372" s="72" t="n"/>
      <c r="F372" s="44" t="n"/>
      <c r="G372" s="44" t="n"/>
      <c r="H372" s="44" t="n"/>
      <c r="I372" s="44" t="n"/>
      <c r="J372" s="9">
        <f>IF(A372="","",TEXT(A372,"MMMM YYYY"))</f>
        <v/>
      </c>
      <c r="K372" s="9">
        <f>IF(A372="","",WEEKNUM(A372))</f>
        <v/>
      </c>
      <c r="L372" s="9">
        <f>IF(A372="","",MONTH(A372))</f>
        <v/>
      </c>
      <c r="M372" s="9">
        <f>IF(A372="","",YEAR(A372))</f>
        <v/>
      </c>
    </row>
    <row r="373">
      <c r="A373" s="47" t="n"/>
      <c r="B373" s="48" t="n"/>
      <c r="C373" s="48" t="n"/>
      <c r="D373" s="48" t="n"/>
      <c r="E373" s="73" t="n"/>
      <c r="F373" s="48" t="n"/>
      <c r="G373" s="48" t="n"/>
      <c r="H373" s="48" t="n"/>
      <c r="I373" s="48" t="n"/>
      <c r="J373" s="12">
        <f>IF(A373="","",TEXT(A373,"MMMM YYYY"))</f>
        <v/>
      </c>
      <c r="K373" s="12">
        <f>IF(A373="","",WEEKNUM(A373))</f>
        <v/>
      </c>
      <c r="L373" s="12">
        <f>IF(A373="","",MONTH(A373))</f>
        <v/>
      </c>
      <c r="M373" s="12">
        <f>IF(A373="","",YEAR(A373))</f>
        <v/>
      </c>
    </row>
    <row r="374">
      <c r="A374" s="43" t="n"/>
      <c r="B374" s="44" t="n"/>
      <c r="C374" s="44" t="n"/>
      <c r="D374" s="44" t="n"/>
      <c r="E374" s="72" t="n"/>
      <c r="F374" s="44" t="n"/>
      <c r="G374" s="44" t="n"/>
      <c r="H374" s="44" t="n"/>
      <c r="I374" s="44" t="n"/>
      <c r="J374" s="9">
        <f>IF(A374="","",TEXT(A374,"MMMM YYYY"))</f>
        <v/>
      </c>
      <c r="K374" s="9">
        <f>IF(A374="","",WEEKNUM(A374))</f>
        <v/>
      </c>
      <c r="L374" s="9">
        <f>IF(A374="","",MONTH(A374))</f>
        <v/>
      </c>
      <c r="M374" s="9">
        <f>IF(A374="","",YEAR(A374))</f>
        <v/>
      </c>
    </row>
    <row r="375">
      <c r="A375" s="47" t="n"/>
      <c r="B375" s="48" t="n"/>
      <c r="C375" s="48" t="n"/>
      <c r="D375" s="48" t="n"/>
      <c r="E375" s="73" t="n"/>
      <c r="F375" s="48" t="n"/>
      <c r="G375" s="48" t="n"/>
      <c r="H375" s="48" t="n"/>
      <c r="I375" s="48" t="n"/>
      <c r="J375" s="12">
        <f>IF(A375="","",TEXT(A375,"MMMM YYYY"))</f>
        <v/>
      </c>
      <c r="K375" s="12">
        <f>IF(A375="","",WEEKNUM(A375))</f>
        <v/>
      </c>
      <c r="L375" s="12">
        <f>IF(A375="","",MONTH(A375))</f>
        <v/>
      </c>
      <c r="M375" s="12">
        <f>IF(A375="","",YEAR(A375))</f>
        <v/>
      </c>
    </row>
    <row r="376">
      <c r="A376" s="43" t="n"/>
      <c r="B376" s="44" t="n"/>
      <c r="C376" s="44" t="n"/>
      <c r="D376" s="44" t="n"/>
      <c r="E376" s="72" t="n"/>
      <c r="F376" s="44" t="n"/>
      <c r="G376" s="44" t="n"/>
      <c r="H376" s="44" t="n"/>
      <c r="I376" s="44" t="n"/>
      <c r="J376" s="9">
        <f>IF(A376="","",TEXT(A376,"MMMM YYYY"))</f>
        <v/>
      </c>
      <c r="K376" s="9">
        <f>IF(A376="","",WEEKNUM(A376))</f>
        <v/>
      </c>
      <c r="L376" s="9">
        <f>IF(A376="","",MONTH(A376))</f>
        <v/>
      </c>
      <c r="M376" s="9">
        <f>IF(A376="","",YEAR(A376))</f>
        <v/>
      </c>
    </row>
    <row r="377">
      <c r="A377" s="47" t="n"/>
      <c r="B377" s="48" t="n"/>
      <c r="C377" s="48" t="n"/>
      <c r="D377" s="48" t="n"/>
      <c r="E377" s="73" t="n"/>
      <c r="F377" s="48" t="n"/>
      <c r="G377" s="48" t="n"/>
      <c r="H377" s="48" t="n"/>
      <c r="I377" s="48" t="n"/>
      <c r="J377" s="12">
        <f>IF(A377="","",TEXT(A377,"MMMM YYYY"))</f>
        <v/>
      </c>
      <c r="K377" s="12">
        <f>IF(A377="","",WEEKNUM(A377))</f>
        <v/>
      </c>
      <c r="L377" s="12">
        <f>IF(A377="","",MONTH(A377))</f>
        <v/>
      </c>
      <c r="M377" s="12">
        <f>IF(A377="","",YEAR(A377))</f>
        <v/>
      </c>
    </row>
    <row r="378">
      <c r="A378" s="43" t="n"/>
      <c r="B378" s="44" t="n"/>
      <c r="C378" s="44" t="n"/>
      <c r="D378" s="44" t="n"/>
      <c r="E378" s="72" t="n"/>
      <c r="F378" s="44" t="n"/>
      <c r="G378" s="44" t="n"/>
      <c r="H378" s="44" t="n"/>
      <c r="I378" s="44" t="n"/>
      <c r="J378" s="9">
        <f>IF(A378="","",TEXT(A378,"MMMM YYYY"))</f>
        <v/>
      </c>
      <c r="K378" s="9">
        <f>IF(A378="","",WEEKNUM(A378))</f>
        <v/>
      </c>
      <c r="L378" s="9">
        <f>IF(A378="","",MONTH(A378))</f>
        <v/>
      </c>
      <c r="M378" s="9">
        <f>IF(A378="","",YEAR(A378))</f>
        <v/>
      </c>
    </row>
    <row r="379">
      <c r="A379" s="47" t="n"/>
      <c r="B379" s="48" t="n"/>
      <c r="C379" s="48" t="n"/>
      <c r="D379" s="48" t="n"/>
      <c r="E379" s="73" t="n"/>
      <c r="F379" s="48" t="n"/>
      <c r="G379" s="48" t="n"/>
      <c r="H379" s="48" t="n"/>
      <c r="I379" s="48" t="n"/>
      <c r="J379" s="12">
        <f>IF(A379="","",TEXT(A379,"MMMM YYYY"))</f>
        <v/>
      </c>
      <c r="K379" s="12">
        <f>IF(A379="","",WEEKNUM(A379))</f>
        <v/>
      </c>
      <c r="L379" s="12">
        <f>IF(A379="","",MONTH(A379))</f>
        <v/>
      </c>
      <c r="M379" s="12">
        <f>IF(A379="","",YEAR(A379))</f>
        <v/>
      </c>
    </row>
    <row r="380">
      <c r="A380" s="43" t="n"/>
      <c r="B380" s="44" t="n"/>
      <c r="C380" s="44" t="n"/>
      <c r="D380" s="44" t="n"/>
      <c r="E380" s="72" t="n"/>
      <c r="F380" s="44" t="n"/>
      <c r="G380" s="44" t="n"/>
      <c r="H380" s="44" t="n"/>
      <c r="I380" s="44" t="n"/>
      <c r="J380" s="9">
        <f>IF(A380="","",TEXT(A380,"MMMM YYYY"))</f>
        <v/>
      </c>
      <c r="K380" s="9">
        <f>IF(A380="","",WEEKNUM(A380))</f>
        <v/>
      </c>
      <c r="L380" s="9">
        <f>IF(A380="","",MONTH(A380))</f>
        <v/>
      </c>
      <c r="M380" s="9">
        <f>IF(A380="","",YEAR(A380))</f>
        <v/>
      </c>
    </row>
    <row r="381">
      <c r="A381" s="47" t="n"/>
      <c r="B381" s="48" t="n"/>
      <c r="C381" s="48" t="n"/>
      <c r="D381" s="48" t="n"/>
      <c r="E381" s="73" t="n"/>
      <c r="F381" s="48" t="n"/>
      <c r="G381" s="48" t="n"/>
      <c r="H381" s="48" t="n"/>
      <c r="I381" s="48" t="n"/>
      <c r="J381" s="12">
        <f>IF(A381="","",TEXT(A381,"MMMM YYYY"))</f>
        <v/>
      </c>
      <c r="K381" s="12">
        <f>IF(A381="","",WEEKNUM(A381))</f>
        <v/>
      </c>
      <c r="L381" s="12">
        <f>IF(A381="","",MONTH(A381))</f>
        <v/>
      </c>
      <c r="M381" s="12">
        <f>IF(A381="","",YEAR(A381))</f>
        <v/>
      </c>
    </row>
    <row r="382">
      <c r="A382" s="43" t="n"/>
      <c r="B382" s="44" t="n"/>
      <c r="C382" s="44" t="n"/>
      <c r="D382" s="44" t="n"/>
      <c r="E382" s="72" t="n"/>
      <c r="F382" s="44" t="n"/>
      <c r="G382" s="44" t="n"/>
      <c r="H382" s="44" t="n"/>
      <c r="I382" s="44" t="n"/>
      <c r="J382" s="9">
        <f>IF(A382="","",TEXT(A382,"MMMM YYYY"))</f>
        <v/>
      </c>
      <c r="K382" s="9">
        <f>IF(A382="","",WEEKNUM(A382))</f>
        <v/>
      </c>
      <c r="L382" s="9">
        <f>IF(A382="","",MONTH(A382))</f>
        <v/>
      </c>
      <c r="M382" s="9">
        <f>IF(A382="","",YEAR(A382))</f>
        <v/>
      </c>
    </row>
    <row r="383">
      <c r="A383" s="47" t="n"/>
      <c r="B383" s="48" t="n"/>
      <c r="C383" s="48" t="n"/>
      <c r="D383" s="48" t="n"/>
      <c r="E383" s="73" t="n"/>
      <c r="F383" s="48" t="n"/>
      <c r="G383" s="48" t="n"/>
      <c r="H383" s="48" t="n"/>
      <c r="I383" s="48" t="n"/>
      <c r="J383" s="12">
        <f>IF(A383="","",TEXT(A383,"MMMM YYYY"))</f>
        <v/>
      </c>
      <c r="K383" s="12">
        <f>IF(A383="","",WEEKNUM(A383))</f>
        <v/>
      </c>
      <c r="L383" s="12">
        <f>IF(A383="","",MONTH(A383))</f>
        <v/>
      </c>
      <c r="M383" s="12">
        <f>IF(A383="","",YEAR(A383))</f>
        <v/>
      </c>
    </row>
    <row r="384">
      <c r="A384" s="43" t="n"/>
      <c r="B384" s="44" t="n"/>
      <c r="C384" s="44" t="n"/>
      <c r="D384" s="44" t="n"/>
      <c r="E384" s="72" t="n"/>
      <c r="F384" s="44" t="n"/>
      <c r="G384" s="44" t="n"/>
      <c r="H384" s="44" t="n"/>
      <c r="I384" s="44" t="n"/>
      <c r="J384" s="9">
        <f>IF(A384="","",TEXT(A384,"MMMM YYYY"))</f>
        <v/>
      </c>
      <c r="K384" s="9">
        <f>IF(A384="","",WEEKNUM(A384))</f>
        <v/>
      </c>
      <c r="L384" s="9">
        <f>IF(A384="","",MONTH(A384))</f>
        <v/>
      </c>
      <c r="M384" s="9">
        <f>IF(A384="","",YEAR(A384))</f>
        <v/>
      </c>
    </row>
    <row r="385">
      <c r="A385" s="47" t="n"/>
      <c r="B385" s="48" t="n"/>
      <c r="C385" s="48" t="n"/>
      <c r="D385" s="48" t="n"/>
      <c r="E385" s="73" t="n"/>
      <c r="F385" s="48" t="n"/>
      <c r="G385" s="48" t="n"/>
      <c r="H385" s="48" t="n"/>
      <c r="I385" s="48" t="n"/>
      <c r="J385" s="12">
        <f>IF(A385="","",TEXT(A385,"MMMM YYYY"))</f>
        <v/>
      </c>
      <c r="K385" s="12">
        <f>IF(A385="","",WEEKNUM(A385))</f>
        <v/>
      </c>
      <c r="L385" s="12">
        <f>IF(A385="","",MONTH(A385))</f>
        <v/>
      </c>
      <c r="M385" s="12">
        <f>IF(A385="","",YEAR(A385))</f>
        <v/>
      </c>
    </row>
    <row r="386">
      <c r="A386" s="43" t="n"/>
      <c r="B386" s="44" t="n"/>
      <c r="C386" s="44" t="n"/>
      <c r="D386" s="44" t="n"/>
      <c r="E386" s="72" t="n"/>
      <c r="F386" s="44" t="n"/>
      <c r="G386" s="44" t="n"/>
      <c r="H386" s="44" t="n"/>
      <c r="I386" s="44" t="n"/>
      <c r="J386" s="9">
        <f>IF(A386="","",TEXT(A386,"MMMM YYYY"))</f>
        <v/>
      </c>
      <c r="K386" s="9">
        <f>IF(A386="","",WEEKNUM(A386))</f>
        <v/>
      </c>
      <c r="L386" s="9">
        <f>IF(A386="","",MONTH(A386))</f>
        <v/>
      </c>
      <c r="M386" s="9">
        <f>IF(A386="","",YEAR(A386))</f>
        <v/>
      </c>
    </row>
    <row r="387">
      <c r="A387" s="47" t="n"/>
      <c r="B387" s="48" t="n"/>
      <c r="C387" s="48" t="n"/>
      <c r="D387" s="48" t="n"/>
      <c r="E387" s="73" t="n"/>
      <c r="F387" s="48" t="n"/>
      <c r="G387" s="48" t="n"/>
      <c r="H387" s="48" t="n"/>
      <c r="I387" s="48" t="n"/>
      <c r="J387" s="12">
        <f>IF(A387="","",TEXT(A387,"MMMM YYYY"))</f>
        <v/>
      </c>
      <c r="K387" s="12">
        <f>IF(A387="","",WEEKNUM(A387))</f>
        <v/>
      </c>
      <c r="L387" s="12">
        <f>IF(A387="","",MONTH(A387))</f>
        <v/>
      </c>
      <c r="M387" s="12">
        <f>IF(A387="","",YEAR(A387))</f>
        <v/>
      </c>
    </row>
    <row r="388">
      <c r="A388" s="43" t="n"/>
      <c r="B388" s="44" t="n"/>
      <c r="C388" s="44" t="n"/>
      <c r="D388" s="44" t="n"/>
      <c r="E388" s="72" t="n"/>
      <c r="F388" s="44" t="n"/>
      <c r="G388" s="44" t="n"/>
      <c r="H388" s="44" t="n"/>
      <c r="I388" s="44" t="n"/>
      <c r="J388" s="9">
        <f>IF(A388="","",TEXT(A388,"MMMM YYYY"))</f>
        <v/>
      </c>
      <c r="K388" s="9">
        <f>IF(A388="","",WEEKNUM(A388))</f>
        <v/>
      </c>
      <c r="L388" s="9">
        <f>IF(A388="","",MONTH(A388))</f>
        <v/>
      </c>
      <c r="M388" s="9">
        <f>IF(A388="","",YEAR(A388))</f>
        <v/>
      </c>
    </row>
    <row r="389">
      <c r="A389" s="47" t="n"/>
      <c r="B389" s="48" t="n"/>
      <c r="C389" s="48" t="n"/>
      <c r="D389" s="48" t="n"/>
      <c r="E389" s="73" t="n"/>
      <c r="F389" s="48" t="n"/>
      <c r="G389" s="48" t="n"/>
      <c r="H389" s="48" t="n"/>
      <c r="I389" s="48" t="n"/>
      <c r="J389" s="12">
        <f>IF(A389="","",TEXT(A389,"MMMM YYYY"))</f>
        <v/>
      </c>
      <c r="K389" s="12">
        <f>IF(A389="","",WEEKNUM(A389))</f>
        <v/>
      </c>
      <c r="L389" s="12">
        <f>IF(A389="","",MONTH(A389))</f>
        <v/>
      </c>
      <c r="M389" s="12">
        <f>IF(A389="","",YEAR(A389))</f>
        <v/>
      </c>
    </row>
    <row r="390">
      <c r="A390" s="43" t="n"/>
      <c r="B390" s="44" t="n"/>
      <c r="C390" s="44" t="n"/>
      <c r="D390" s="44" t="n"/>
      <c r="E390" s="72" t="n"/>
      <c r="F390" s="44" t="n"/>
      <c r="G390" s="44" t="n"/>
      <c r="H390" s="44" t="n"/>
      <c r="I390" s="44" t="n"/>
      <c r="J390" s="9">
        <f>IF(A390="","",TEXT(A390,"MMMM YYYY"))</f>
        <v/>
      </c>
      <c r="K390" s="9">
        <f>IF(A390="","",WEEKNUM(A390))</f>
        <v/>
      </c>
      <c r="L390" s="9">
        <f>IF(A390="","",MONTH(A390))</f>
        <v/>
      </c>
      <c r="M390" s="9">
        <f>IF(A390="","",YEAR(A390))</f>
        <v/>
      </c>
    </row>
    <row r="391">
      <c r="A391" s="47" t="n"/>
      <c r="B391" s="48" t="n"/>
      <c r="C391" s="48" t="n"/>
      <c r="D391" s="48" t="n"/>
      <c r="E391" s="73" t="n"/>
      <c r="F391" s="48" t="n"/>
      <c r="G391" s="48" t="n"/>
      <c r="H391" s="48" t="n"/>
      <c r="I391" s="48" t="n"/>
      <c r="J391" s="12">
        <f>IF(A391="","",TEXT(A391,"MMMM YYYY"))</f>
        <v/>
      </c>
      <c r="K391" s="12">
        <f>IF(A391="","",WEEKNUM(A391))</f>
        <v/>
      </c>
      <c r="L391" s="12">
        <f>IF(A391="","",MONTH(A391))</f>
        <v/>
      </c>
      <c r="M391" s="12">
        <f>IF(A391="","",YEAR(A391))</f>
        <v/>
      </c>
    </row>
    <row r="392">
      <c r="A392" s="43" t="n"/>
      <c r="B392" s="44" t="n"/>
      <c r="C392" s="44" t="n"/>
      <c r="D392" s="44" t="n"/>
      <c r="E392" s="72" t="n"/>
      <c r="F392" s="44" t="n"/>
      <c r="G392" s="44" t="n"/>
      <c r="H392" s="44" t="n"/>
      <c r="I392" s="44" t="n"/>
      <c r="J392" s="9">
        <f>IF(A392="","",TEXT(A392,"MMMM YYYY"))</f>
        <v/>
      </c>
      <c r="K392" s="9">
        <f>IF(A392="","",WEEKNUM(A392))</f>
        <v/>
      </c>
      <c r="L392" s="9">
        <f>IF(A392="","",MONTH(A392))</f>
        <v/>
      </c>
      <c r="M392" s="9">
        <f>IF(A392="","",YEAR(A392))</f>
        <v/>
      </c>
    </row>
    <row r="393">
      <c r="A393" s="47" t="n"/>
      <c r="B393" s="48" t="n"/>
      <c r="C393" s="48" t="n"/>
      <c r="D393" s="48" t="n"/>
      <c r="E393" s="73" t="n"/>
      <c r="F393" s="48" t="n"/>
      <c r="G393" s="48" t="n"/>
      <c r="H393" s="48" t="n"/>
      <c r="I393" s="48" t="n"/>
      <c r="J393" s="12">
        <f>IF(A393="","",TEXT(A393,"MMMM YYYY"))</f>
        <v/>
      </c>
      <c r="K393" s="12">
        <f>IF(A393="","",WEEKNUM(A393))</f>
        <v/>
      </c>
      <c r="L393" s="12">
        <f>IF(A393="","",MONTH(A393))</f>
        <v/>
      </c>
      <c r="M393" s="12">
        <f>IF(A393="","",YEAR(A393))</f>
        <v/>
      </c>
    </row>
    <row r="394">
      <c r="A394" s="43" t="n"/>
      <c r="B394" s="44" t="n"/>
      <c r="C394" s="44" t="n"/>
      <c r="D394" s="44" t="n"/>
      <c r="E394" s="72" t="n"/>
      <c r="F394" s="44" t="n"/>
      <c r="G394" s="44" t="n"/>
      <c r="H394" s="44" t="n"/>
      <c r="I394" s="44" t="n"/>
      <c r="J394" s="9">
        <f>IF(A394="","",TEXT(A394,"MMMM YYYY"))</f>
        <v/>
      </c>
      <c r="K394" s="9">
        <f>IF(A394="","",WEEKNUM(A394))</f>
        <v/>
      </c>
      <c r="L394" s="9">
        <f>IF(A394="","",MONTH(A394))</f>
        <v/>
      </c>
      <c r="M394" s="9">
        <f>IF(A394="","",YEAR(A394))</f>
        <v/>
      </c>
    </row>
    <row r="395">
      <c r="A395" s="47" t="n"/>
      <c r="B395" s="48" t="n"/>
      <c r="C395" s="48" t="n"/>
      <c r="D395" s="48" t="n"/>
      <c r="E395" s="73" t="n"/>
      <c r="F395" s="48" t="n"/>
      <c r="G395" s="48" t="n"/>
      <c r="H395" s="48" t="n"/>
      <c r="I395" s="48" t="n"/>
      <c r="J395" s="12">
        <f>IF(A395="","",TEXT(A395,"MMMM YYYY"))</f>
        <v/>
      </c>
      <c r="K395" s="12">
        <f>IF(A395="","",WEEKNUM(A395))</f>
        <v/>
      </c>
      <c r="L395" s="12">
        <f>IF(A395="","",MONTH(A395))</f>
        <v/>
      </c>
      <c r="M395" s="12">
        <f>IF(A395="","",YEAR(A395))</f>
        <v/>
      </c>
    </row>
    <row r="396">
      <c r="A396" s="43" t="n"/>
      <c r="B396" s="44" t="n"/>
      <c r="C396" s="44" t="n"/>
      <c r="D396" s="44" t="n"/>
      <c r="E396" s="72" t="n"/>
      <c r="F396" s="44" t="n"/>
      <c r="G396" s="44" t="n"/>
      <c r="H396" s="44" t="n"/>
      <c r="I396" s="44" t="n"/>
      <c r="J396" s="9">
        <f>IF(A396="","",TEXT(A396,"MMMM YYYY"))</f>
        <v/>
      </c>
      <c r="K396" s="9">
        <f>IF(A396="","",WEEKNUM(A396))</f>
        <v/>
      </c>
      <c r="L396" s="9">
        <f>IF(A396="","",MONTH(A396))</f>
        <v/>
      </c>
      <c r="M396" s="9">
        <f>IF(A396="","",YEAR(A396))</f>
        <v/>
      </c>
    </row>
    <row r="397">
      <c r="A397" s="47" t="n"/>
      <c r="B397" s="48" t="n"/>
      <c r="C397" s="48" t="n"/>
      <c r="D397" s="48" t="n"/>
      <c r="E397" s="73" t="n"/>
      <c r="F397" s="48" t="n"/>
      <c r="G397" s="48" t="n"/>
      <c r="H397" s="48" t="n"/>
      <c r="I397" s="48" t="n"/>
      <c r="J397" s="12">
        <f>IF(A397="","",TEXT(A397,"MMMM YYYY"))</f>
        <v/>
      </c>
      <c r="K397" s="12">
        <f>IF(A397="","",WEEKNUM(A397))</f>
        <v/>
      </c>
      <c r="L397" s="12">
        <f>IF(A397="","",MONTH(A397))</f>
        <v/>
      </c>
      <c r="M397" s="12">
        <f>IF(A397="","",YEAR(A397))</f>
        <v/>
      </c>
    </row>
    <row r="398">
      <c r="A398" s="43" t="n"/>
      <c r="B398" s="44" t="n"/>
      <c r="C398" s="44" t="n"/>
      <c r="D398" s="44" t="n"/>
      <c r="E398" s="72" t="n"/>
      <c r="F398" s="44" t="n"/>
      <c r="G398" s="44" t="n"/>
      <c r="H398" s="44" t="n"/>
      <c r="I398" s="44" t="n"/>
      <c r="J398" s="9">
        <f>IF(A398="","",TEXT(A398,"MMMM YYYY"))</f>
        <v/>
      </c>
      <c r="K398" s="9">
        <f>IF(A398="","",WEEKNUM(A398))</f>
        <v/>
      </c>
      <c r="L398" s="9">
        <f>IF(A398="","",MONTH(A398))</f>
        <v/>
      </c>
      <c r="M398" s="9">
        <f>IF(A398="","",YEAR(A398))</f>
        <v/>
      </c>
    </row>
    <row r="399">
      <c r="A399" s="47" t="n"/>
      <c r="B399" s="48" t="n"/>
      <c r="C399" s="48" t="n"/>
      <c r="D399" s="48" t="n"/>
      <c r="E399" s="73" t="n"/>
      <c r="F399" s="48" t="n"/>
      <c r="G399" s="48" t="n"/>
      <c r="H399" s="48" t="n"/>
      <c r="I399" s="48" t="n"/>
      <c r="J399" s="12">
        <f>IF(A399="","",TEXT(A399,"MMMM YYYY"))</f>
        <v/>
      </c>
      <c r="K399" s="12">
        <f>IF(A399="","",WEEKNUM(A399))</f>
        <v/>
      </c>
      <c r="L399" s="12">
        <f>IF(A399="","",MONTH(A399))</f>
        <v/>
      </c>
      <c r="M399" s="12">
        <f>IF(A399="","",YEAR(A399))</f>
        <v/>
      </c>
    </row>
    <row r="400">
      <c r="A400" s="43" t="n"/>
      <c r="B400" s="44" t="n"/>
      <c r="C400" s="44" t="n"/>
      <c r="D400" s="44" t="n"/>
      <c r="E400" s="72" t="n"/>
      <c r="F400" s="44" t="n"/>
      <c r="G400" s="44" t="n"/>
      <c r="H400" s="44" t="n"/>
      <c r="I400" s="44" t="n"/>
      <c r="J400" s="9">
        <f>IF(A400="","",TEXT(A400,"MMMM YYYY"))</f>
        <v/>
      </c>
      <c r="K400" s="9">
        <f>IF(A400="","",WEEKNUM(A400))</f>
        <v/>
      </c>
      <c r="L400" s="9">
        <f>IF(A400="","",MONTH(A400))</f>
        <v/>
      </c>
      <c r="M400" s="9">
        <f>IF(A400="","",YEAR(A400))</f>
        <v/>
      </c>
    </row>
    <row r="401">
      <c r="A401" s="47" t="n"/>
      <c r="B401" s="48" t="n"/>
      <c r="C401" s="48" t="n"/>
      <c r="D401" s="48" t="n"/>
      <c r="E401" s="73" t="n"/>
      <c r="F401" s="48" t="n"/>
      <c r="G401" s="48" t="n"/>
      <c r="H401" s="48" t="n"/>
      <c r="I401" s="48" t="n"/>
      <c r="J401" s="12">
        <f>IF(A401="","",TEXT(A401,"MMMM YYYY"))</f>
        <v/>
      </c>
      <c r="K401" s="12">
        <f>IF(A401="","",WEEKNUM(A401))</f>
        <v/>
      </c>
      <c r="L401" s="12">
        <f>IF(A401="","",MONTH(A401))</f>
        <v/>
      </c>
      <c r="M401" s="12">
        <f>IF(A401="","",YEAR(A401))</f>
        <v/>
      </c>
    </row>
    <row r="402">
      <c r="A402" s="43" t="n"/>
      <c r="B402" s="44" t="n"/>
      <c r="C402" s="44" t="n"/>
      <c r="D402" s="44" t="n"/>
      <c r="E402" s="72" t="n"/>
      <c r="F402" s="44" t="n"/>
      <c r="G402" s="44" t="n"/>
      <c r="H402" s="44" t="n"/>
      <c r="I402" s="44" t="n"/>
      <c r="J402" s="9">
        <f>IF(A402="","",TEXT(A402,"MMMM YYYY"))</f>
        <v/>
      </c>
      <c r="K402" s="9">
        <f>IF(A402="","",WEEKNUM(A402))</f>
        <v/>
      </c>
      <c r="L402" s="9">
        <f>IF(A402="","",MONTH(A402))</f>
        <v/>
      </c>
      <c r="M402" s="9">
        <f>IF(A402="","",YEAR(A402))</f>
        <v/>
      </c>
    </row>
    <row r="403">
      <c r="A403" s="47" t="n"/>
      <c r="B403" s="48" t="n"/>
      <c r="C403" s="48" t="n"/>
      <c r="D403" s="48" t="n"/>
      <c r="E403" s="73" t="n"/>
      <c r="F403" s="48" t="n"/>
      <c r="G403" s="48" t="n"/>
      <c r="H403" s="48" t="n"/>
      <c r="I403" s="48" t="n"/>
      <c r="J403" s="12">
        <f>IF(A403="","",TEXT(A403,"MMMM YYYY"))</f>
        <v/>
      </c>
      <c r="K403" s="12">
        <f>IF(A403="","",WEEKNUM(A403))</f>
        <v/>
      </c>
      <c r="L403" s="12">
        <f>IF(A403="","",MONTH(A403))</f>
        <v/>
      </c>
      <c r="M403" s="12">
        <f>IF(A403="","",YEAR(A403))</f>
        <v/>
      </c>
    </row>
    <row r="404">
      <c r="A404" s="43" t="n"/>
      <c r="B404" s="44" t="n"/>
      <c r="C404" s="44" t="n"/>
      <c r="D404" s="44" t="n"/>
      <c r="E404" s="72" t="n"/>
      <c r="F404" s="44" t="n"/>
      <c r="G404" s="44" t="n"/>
      <c r="H404" s="44" t="n"/>
      <c r="I404" s="44" t="n"/>
      <c r="J404" s="9">
        <f>IF(A404="","",TEXT(A404,"MMMM YYYY"))</f>
        <v/>
      </c>
      <c r="K404" s="9">
        <f>IF(A404="","",WEEKNUM(A404))</f>
        <v/>
      </c>
      <c r="L404" s="9">
        <f>IF(A404="","",MONTH(A404))</f>
        <v/>
      </c>
      <c r="M404" s="9">
        <f>IF(A404="","",YEAR(A404))</f>
        <v/>
      </c>
    </row>
    <row r="405">
      <c r="A405" s="47" t="n"/>
      <c r="B405" s="48" t="n"/>
      <c r="C405" s="48" t="n"/>
      <c r="D405" s="48" t="n"/>
      <c r="E405" s="73" t="n"/>
      <c r="F405" s="48" t="n"/>
      <c r="G405" s="48" t="n"/>
      <c r="H405" s="48" t="n"/>
      <c r="I405" s="48" t="n"/>
      <c r="J405" s="12">
        <f>IF(A405="","",TEXT(A405,"MMMM YYYY"))</f>
        <v/>
      </c>
      <c r="K405" s="12">
        <f>IF(A405="","",WEEKNUM(A405))</f>
        <v/>
      </c>
      <c r="L405" s="12">
        <f>IF(A405="","",MONTH(A405))</f>
        <v/>
      </c>
      <c r="M405" s="12">
        <f>IF(A405="","",YEAR(A405))</f>
        <v/>
      </c>
    </row>
    <row r="406">
      <c r="A406" s="43" t="n"/>
      <c r="B406" s="44" t="n"/>
      <c r="C406" s="44" t="n"/>
      <c r="D406" s="44" t="n"/>
      <c r="E406" s="72" t="n"/>
      <c r="F406" s="44" t="n"/>
      <c r="G406" s="44" t="n"/>
      <c r="H406" s="44" t="n"/>
      <c r="I406" s="44" t="n"/>
      <c r="J406" s="9">
        <f>IF(A406="","",TEXT(A406,"MMMM YYYY"))</f>
        <v/>
      </c>
      <c r="K406" s="9">
        <f>IF(A406="","",WEEKNUM(A406))</f>
        <v/>
      </c>
      <c r="L406" s="9">
        <f>IF(A406="","",MONTH(A406))</f>
        <v/>
      </c>
      <c r="M406" s="9">
        <f>IF(A406="","",YEAR(A406))</f>
        <v/>
      </c>
    </row>
    <row r="407">
      <c r="A407" s="47" t="n"/>
      <c r="B407" s="48" t="n"/>
      <c r="C407" s="48" t="n"/>
      <c r="D407" s="48" t="n"/>
      <c r="E407" s="73" t="n"/>
      <c r="F407" s="48" t="n"/>
      <c r="G407" s="48" t="n"/>
      <c r="H407" s="48" t="n"/>
      <c r="I407" s="48" t="n"/>
      <c r="J407" s="12">
        <f>IF(A407="","",TEXT(A407,"MMMM YYYY"))</f>
        <v/>
      </c>
      <c r="K407" s="12">
        <f>IF(A407="","",WEEKNUM(A407))</f>
        <v/>
      </c>
      <c r="L407" s="12">
        <f>IF(A407="","",MONTH(A407))</f>
        <v/>
      </c>
      <c r="M407" s="12">
        <f>IF(A407="","",YEAR(A407))</f>
        <v/>
      </c>
    </row>
    <row r="408">
      <c r="A408" s="43" t="n"/>
      <c r="B408" s="44" t="n"/>
      <c r="C408" s="44" t="n"/>
      <c r="D408" s="44" t="n"/>
      <c r="E408" s="72" t="n"/>
      <c r="F408" s="44" t="n"/>
      <c r="G408" s="44" t="n"/>
      <c r="H408" s="44" t="n"/>
      <c r="I408" s="44" t="n"/>
      <c r="J408" s="9">
        <f>IF(A408="","",TEXT(A408,"MMMM YYYY"))</f>
        <v/>
      </c>
      <c r="K408" s="9">
        <f>IF(A408="","",WEEKNUM(A408))</f>
        <v/>
      </c>
      <c r="L408" s="9">
        <f>IF(A408="","",MONTH(A408))</f>
        <v/>
      </c>
      <c r="M408" s="9">
        <f>IF(A408="","",YEAR(A408))</f>
        <v/>
      </c>
    </row>
    <row r="409">
      <c r="A409" s="47" t="n"/>
      <c r="B409" s="48" t="n"/>
      <c r="C409" s="48" t="n"/>
      <c r="D409" s="48" t="n"/>
      <c r="E409" s="73" t="n"/>
      <c r="F409" s="48" t="n"/>
      <c r="G409" s="48" t="n"/>
      <c r="H409" s="48" t="n"/>
      <c r="I409" s="48" t="n"/>
      <c r="J409" s="12">
        <f>IF(A409="","",TEXT(A409,"MMMM YYYY"))</f>
        <v/>
      </c>
      <c r="K409" s="12">
        <f>IF(A409="","",WEEKNUM(A409))</f>
        <v/>
      </c>
      <c r="L409" s="12">
        <f>IF(A409="","",MONTH(A409))</f>
        <v/>
      </c>
      <c r="M409" s="12">
        <f>IF(A409="","",YEAR(A409))</f>
        <v/>
      </c>
    </row>
    <row r="410">
      <c r="A410" s="43" t="n"/>
      <c r="B410" s="44" t="n"/>
      <c r="C410" s="44" t="n"/>
      <c r="D410" s="44" t="n"/>
      <c r="E410" s="72" t="n"/>
      <c r="F410" s="44" t="n"/>
      <c r="G410" s="44" t="n"/>
      <c r="H410" s="44" t="n"/>
      <c r="I410" s="44" t="n"/>
      <c r="J410" s="9">
        <f>IF(A410="","",TEXT(A410,"MMMM YYYY"))</f>
        <v/>
      </c>
      <c r="K410" s="9">
        <f>IF(A410="","",WEEKNUM(A410))</f>
        <v/>
      </c>
      <c r="L410" s="9">
        <f>IF(A410="","",MONTH(A410))</f>
        <v/>
      </c>
      <c r="M410" s="9">
        <f>IF(A410="","",YEAR(A410))</f>
        <v/>
      </c>
    </row>
    <row r="411">
      <c r="A411" s="47" t="n"/>
      <c r="B411" s="48" t="n"/>
      <c r="C411" s="48" t="n"/>
      <c r="D411" s="48" t="n"/>
      <c r="E411" s="73" t="n"/>
      <c r="F411" s="48" t="n"/>
      <c r="G411" s="48" t="n"/>
      <c r="H411" s="48" t="n"/>
      <c r="I411" s="48" t="n"/>
      <c r="J411" s="12">
        <f>IF(A411="","",TEXT(A411,"MMMM YYYY"))</f>
        <v/>
      </c>
      <c r="K411" s="12">
        <f>IF(A411="","",WEEKNUM(A411))</f>
        <v/>
      </c>
      <c r="L411" s="12">
        <f>IF(A411="","",MONTH(A411))</f>
        <v/>
      </c>
      <c r="M411" s="12">
        <f>IF(A411="","",YEAR(A411))</f>
        <v/>
      </c>
    </row>
    <row r="412">
      <c r="A412" s="43" t="n"/>
      <c r="B412" s="44" t="n"/>
      <c r="C412" s="44" t="n"/>
      <c r="D412" s="44" t="n"/>
      <c r="E412" s="72" t="n"/>
      <c r="F412" s="44" t="n"/>
      <c r="G412" s="44" t="n"/>
      <c r="H412" s="44" t="n"/>
      <c r="I412" s="44" t="n"/>
      <c r="J412" s="9">
        <f>IF(A412="","",TEXT(A412,"MMMM YYYY"))</f>
        <v/>
      </c>
      <c r="K412" s="9">
        <f>IF(A412="","",WEEKNUM(A412))</f>
        <v/>
      </c>
      <c r="L412" s="9">
        <f>IF(A412="","",MONTH(A412))</f>
        <v/>
      </c>
      <c r="M412" s="9">
        <f>IF(A412="","",YEAR(A412))</f>
        <v/>
      </c>
    </row>
    <row r="413">
      <c r="A413" s="47" t="n"/>
      <c r="B413" s="48" t="n"/>
      <c r="C413" s="48" t="n"/>
      <c r="D413" s="48" t="n"/>
      <c r="E413" s="73" t="n"/>
      <c r="F413" s="48" t="n"/>
      <c r="G413" s="48" t="n"/>
      <c r="H413" s="48" t="n"/>
      <c r="I413" s="48" t="n"/>
      <c r="J413" s="12">
        <f>IF(A413="","",TEXT(A413,"MMMM YYYY"))</f>
        <v/>
      </c>
      <c r="K413" s="12">
        <f>IF(A413="","",WEEKNUM(A413))</f>
        <v/>
      </c>
      <c r="L413" s="12">
        <f>IF(A413="","",MONTH(A413))</f>
        <v/>
      </c>
      <c r="M413" s="12">
        <f>IF(A413="","",YEAR(A413))</f>
        <v/>
      </c>
    </row>
    <row r="414">
      <c r="A414" s="43" t="n"/>
      <c r="B414" s="44" t="n"/>
      <c r="C414" s="44" t="n"/>
      <c r="D414" s="44" t="n"/>
      <c r="E414" s="72" t="n"/>
      <c r="F414" s="44" t="n"/>
      <c r="G414" s="44" t="n"/>
      <c r="H414" s="44" t="n"/>
      <c r="I414" s="44" t="n"/>
      <c r="J414" s="9">
        <f>IF(A414="","",TEXT(A414,"MMMM YYYY"))</f>
        <v/>
      </c>
      <c r="K414" s="9">
        <f>IF(A414="","",WEEKNUM(A414))</f>
        <v/>
      </c>
      <c r="L414" s="9">
        <f>IF(A414="","",MONTH(A414))</f>
        <v/>
      </c>
      <c r="M414" s="9">
        <f>IF(A414="","",YEAR(A414))</f>
        <v/>
      </c>
    </row>
    <row r="415">
      <c r="A415" s="47" t="n"/>
      <c r="B415" s="48" t="n"/>
      <c r="C415" s="48" t="n"/>
      <c r="D415" s="48" t="n"/>
      <c r="E415" s="73" t="n"/>
      <c r="F415" s="48" t="n"/>
      <c r="G415" s="48" t="n"/>
      <c r="H415" s="48" t="n"/>
      <c r="I415" s="48" t="n"/>
      <c r="J415" s="12">
        <f>IF(A415="","",TEXT(A415,"MMMM YYYY"))</f>
        <v/>
      </c>
      <c r="K415" s="12">
        <f>IF(A415="","",WEEKNUM(A415))</f>
        <v/>
      </c>
      <c r="L415" s="12">
        <f>IF(A415="","",MONTH(A415))</f>
        <v/>
      </c>
      <c r="M415" s="12">
        <f>IF(A415="","",YEAR(A415))</f>
        <v/>
      </c>
    </row>
    <row r="416">
      <c r="A416" s="43" t="n"/>
      <c r="B416" s="44" t="n"/>
      <c r="C416" s="44" t="n"/>
      <c r="D416" s="44" t="n"/>
      <c r="E416" s="72" t="n"/>
      <c r="F416" s="44" t="n"/>
      <c r="G416" s="44" t="n"/>
      <c r="H416" s="44" t="n"/>
      <c r="I416" s="44" t="n"/>
      <c r="J416" s="9">
        <f>IF(A416="","",TEXT(A416,"MMMM YYYY"))</f>
        <v/>
      </c>
      <c r="K416" s="9">
        <f>IF(A416="","",WEEKNUM(A416))</f>
        <v/>
      </c>
      <c r="L416" s="9">
        <f>IF(A416="","",MONTH(A416))</f>
        <v/>
      </c>
      <c r="M416" s="9">
        <f>IF(A416="","",YEAR(A416))</f>
        <v/>
      </c>
    </row>
    <row r="417">
      <c r="A417" s="47" t="n"/>
      <c r="B417" s="48" t="n"/>
      <c r="C417" s="48" t="n"/>
      <c r="D417" s="48" t="n"/>
      <c r="E417" s="73" t="n"/>
      <c r="F417" s="48" t="n"/>
      <c r="G417" s="48" t="n"/>
      <c r="H417" s="48" t="n"/>
      <c r="I417" s="48" t="n"/>
      <c r="J417" s="12">
        <f>IF(A417="","",TEXT(A417,"MMMM YYYY"))</f>
        <v/>
      </c>
      <c r="K417" s="12">
        <f>IF(A417="","",WEEKNUM(A417))</f>
        <v/>
      </c>
      <c r="L417" s="12">
        <f>IF(A417="","",MONTH(A417))</f>
        <v/>
      </c>
      <c r="M417" s="12">
        <f>IF(A417="","",YEAR(A417))</f>
        <v/>
      </c>
    </row>
    <row r="418">
      <c r="A418" s="43" t="n"/>
      <c r="B418" s="44" t="n"/>
      <c r="C418" s="44" t="n"/>
      <c r="D418" s="44" t="n"/>
      <c r="E418" s="72" t="n"/>
      <c r="F418" s="44" t="n"/>
      <c r="G418" s="44" t="n"/>
      <c r="H418" s="44" t="n"/>
      <c r="I418" s="44" t="n"/>
      <c r="J418" s="9">
        <f>IF(A418="","",TEXT(A418,"MMMM YYYY"))</f>
        <v/>
      </c>
      <c r="K418" s="9">
        <f>IF(A418="","",WEEKNUM(A418))</f>
        <v/>
      </c>
      <c r="L418" s="9">
        <f>IF(A418="","",MONTH(A418))</f>
        <v/>
      </c>
      <c r="M418" s="9">
        <f>IF(A418="","",YEAR(A418))</f>
        <v/>
      </c>
    </row>
    <row r="419">
      <c r="A419" s="47" t="n"/>
      <c r="B419" s="48" t="n"/>
      <c r="C419" s="48" t="n"/>
      <c r="D419" s="48" t="n"/>
      <c r="E419" s="73" t="n"/>
      <c r="F419" s="48" t="n"/>
      <c r="G419" s="48" t="n"/>
      <c r="H419" s="48" t="n"/>
      <c r="I419" s="48" t="n"/>
      <c r="J419" s="12">
        <f>IF(A419="","",TEXT(A419,"MMMM YYYY"))</f>
        <v/>
      </c>
      <c r="K419" s="12">
        <f>IF(A419="","",WEEKNUM(A419))</f>
        <v/>
      </c>
      <c r="L419" s="12">
        <f>IF(A419="","",MONTH(A419))</f>
        <v/>
      </c>
      <c r="M419" s="12">
        <f>IF(A419="","",YEAR(A419))</f>
        <v/>
      </c>
    </row>
    <row r="420">
      <c r="A420" s="43" t="n"/>
      <c r="B420" s="44" t="n"/>
      <c r="C420" s="44" t="n"/>
      <c r="D420" s="44" t="n"/>
      <c r="E420" s="72" t="n"/>
      <c r="F420" s="44" t="n"/>
      <c r="G420" s="44" t="n"/>
      <c r="H420" s="44" t="n"/>
      <c r="I420" s="44" t="n"/>
      <c r="J420" s="9">
        <f>IF(A420="","",TEXT(A420,"MMMM YYYY"))</f>
        <v/>
      </c>
      <c r="K420" s="9">
        <f>IF(A420="","",WEEKNUM(A420))</f>
        <v/>
      </c>
      <c r="L420" s="9">
        <f>IF(A420="","",MONTH(A420))</f>
        <v/>
      </c>
      <c r="M420" s="9">
        <f>IF(A420="","",YEAR(A420))</f>
        <v/>
      </c>
    </row>
    <row r="421">
      <c r="A421" s="47" t="n"/>
      <c r="B421" s="48" t="n"/>
      <c r="C421" s="48" t="n"/>
      <c r="D421" s="48" t="n"/>
      <c r="E421" s="73" t="n"/>
      <c r="F421" s="48" t="n"/>
      <c r="G421" s="48" t="n"/>
      <c r="H421" s="48" t="n"/>
      <c r="I421" s="48" t="n"/>
      <c r="J421" s="12">
        <f>IF(A421="","",TEXT(A421,"MMMM YYYY"))</f>
        <v/>
      </c>
      <c r="K421" s="12">
        <f>IF(A421="","",WEEKNUM(A421))</f>
        <v/>
      </c>
      <c r="L421" s="12">
        <f>IF(A421="","",MONTH(A421))</f>
        <v/>
      </c>
      <c r="M421" s="12">
        <f>IF(A421="","",YEAR(A421))</f>
        <v/>
      </c>
    </row>
    <row r="422">
      <c r="A422" s="43" t="n"/>
      <c r="B422" s="44" t="n"/>
      <c r="C422" s="44" t="n"/>
      <c r="D422" s="44" t="n"/>
      <c r="E422" s="72" t="n"/>
      <c r="F422" s="44" t="n"/>
      <c r="G422" s="44" t="n"/>
      <c r="H422" s="44" t="n"/>
      <c r="I422" s="44" t="n"/>
      <c r="J422" s="9">
        <f>IF(A422="","",TEXT(A422,"MMMM YYYY"))</f>
        <v/>
      </c>
      <c r="K422" s="9">
        <f>IF(A422="","",WEEKNUM(A422))</f>
        <v/>
      </c>
      <c r="L422" s="9">
        <f>IF(A422="","",MONTH(A422))</f>
        <v/>
      </c>
      <c r="M422" s="9">
        <f>IF(A422="","",YEAR(A422))</f>
        <v/>
      </c>
    </row>
    <row r="423">
      <c r="A423" s="47" t="n"/>
      <c r="B423" s="48" t="n"/>
      <c r="C423" s="48" t="n"/>
      <c r="D423" s="48" t="n"/>
      <c r="E423" s="73" t="n"/>
      <c r="F423" s="48" t="n"/>
      <c r="G423" s="48" t="n"/>
      <c r="H423" s="48" t="n"/>
      <c r="I423" s="48" t="n"/>
      <c r="J423" s="12">
        <f>IF(A423="","",TEXT(A423,"MMMM YYYY"))</f>
        <v/>
      </c>
      <c r="K423" s="12">
        <f>IF(A423="","",WEEKNUM(A423))</f>
        <v/>
      </c>
      <c r="L423" s="12">
        <f>IF(A423="","",MONTH(A423))</f>
        <v/>
      </c>
      <c r="M423" s="12">
        <f>IF(A423="","",YEAR(A423))</f>
        <v/>
      </c>
    </row>
    <row r="424">
      <c r="A424" s="43" t="n"/>
      <c r="B424" s="44" t="n"/>
      <c r="C424" s="44" t="n"/>
      <c r="D424" s="44" t="n"/>
      <c r="E424" s="72" t="n"/>
      <c r="F424" s="44" t="n"/>
      <c r="G424" s="44" t="n"/>
      <c r="H424" s="44" t="n"/>
      <c r="I424" s="44" t="n"/>
      <c r="J424" s="9">
        <f>IF(A424="","",TEXT(A424,"MMMM YYYY"))</f>
        <v/>
      </c>
      <c r="K424" s="9">
        <f>IF(A424="","",WEEKNUM(A424))</f>
        <v/>
      </c>
      <c r="L424" s="9">
        <f>IF(A424="","",MONTH(A424))</f>
        <v/>
      </c>
      <c r="M424" s="9">
        <f>IF(A424="","",YEAR(A424))</f>
        <v/>
      </c>
    </row>
    <row r="425">
      <c r="A425" s="47" t="n"/>
      <c r="B425" s="48" t="n"/>
      <c r="C425" s="48" t="n"/>
      <c r="D425" s="48" t="n"/>
      <c r="E425" s="73" t="n"/>
      <c r="F425" s="48" t="n"/>
      <c r="G425" s="48" t="n"/>
      <c r="H425" s="48" t="n"/>
      <c r="I425" s="48" t="n"/>
      <c r="J425" s="12">
        <f>IF(A425="","",TEXT(A425,"MMMM YYYY"))</f>
        <v/>
      </c>
      <c r="K425" s="12">
        <f>IF(A425="","",WEEKNUM(A425))</f>
        <v/>
      </c>
      <c r="L425" s="12">
        <f>IF(A425="","",MONTH(A425))</f>
        <v/>
      </c>
      <c r="M425" s="12">
        <f>IF(A425="","",YEAR(A425))</f>
        <v/>
      </c>
    </row>
    <row r="426">
      <c r="A426" s="43" t="n"/>
      <c r="B426" s="44" t="n"/>
      <c r="C426" s="44" t="n"/>
      <c r="D426" s="44" t="n"/>
      <c r="E426" s="72" t="n"/>
      <c r="F426" s="44" t="n"/>
      <c r="G426" s="44" t="n"/>
      <c r="H426" s="44" t="n"/>
      <c r="I426" s="44" t="n"/>
      <c r="J426" s="9">
        <f>IF(A426="","",TEXT(A426,"MMMM YYYY"))</f>
        <v/>
      </c>
      <c r="K426" s="9">
        <f>IF(A426="","",WEEKNUM(A426))</f>
        <v/>
      </c>
      <c r="L426" s="9">
        <f>IF(A426="","",MONTH(A426))</f>
        <v/>
      </c>
      <c r="M426" s="9">
        <f>IF(A426="","",YEAR(A426))</f>
        <v/>
      </c>
    </row>
    <row r="427">
      <c r="A427" s="47" t="n"/>
      <c r="B427" s="48" t="n"/>
      <c r="C427" s="48" t="n"/>
      <c r="D427" s="48" t="n"/>
      <c r="E427" s="73" t="n"/>
      <c r="F427" s="48" t="n"/>
      <c r="G427" s="48" t="n"/>
      <c r="H427" s="48" t="n"/>
      <c r="I427" s="48" t="n"/>
      <c r="J427" s="12">
        <f>IF(A427="","",TEXT(A427,"MMMM YYYY"))</f>
        <v/>
      </c>
      <c r="K427" s="12">
        <f>IF(A427="","",WEEKNUM(A427))</f>
        <v/>
      </c>
      <c r="L427" s="12">
        <f>IF(A427="","",MONTH(A427))</f>
        <v/>
      </c>
      <c r="M427" s="12">
        <f>IF(A427="","",YEAR(A427))</f>
        <v/>
      </c>
    </row>
    <row r="428">
      <c r="A428" s="43" t="n"/>
      <c r="B428" s="44" t="n"/>
      <c r="C428" s="44" t="n"/>
      <c r="D428" s="44" t="n"/>
      <c r="E428" s="72" t="n"/>
      <c r="F428" s="44" t="n"/>
      <c r="G428" s="44" t="n"/>
      <c r="H428" s="44" t="n"/>
      <c r="I428" s="44" t="n"/>
      <c r="J428" s="9">
        <f>IF(A428="","",TEXT(A428,"MMMM YYYY"))</f>
        <v/>
      </c>
      <c r="K428" s="9">
        <f>IF(A428="","",WEEKNUM(A428))</f>
        <v/>
      </c>
      <c r="L428" s="9">
        <f>IF(A428="","",MONTH(A428))</f>
        <v/>
      </c>
      <c r="M428" s="9">
        <f>IF(A428="","",YEAR(A428))</f>
        <v/>
      </c>
    </row>
    <row r="429">
      <c r="A429" s="47" t="n"/>
      <c r="B429" s="48" t="n"/>
      <c r="C429" s="48" t="n"/>
      <c r="D429" s="48" t="n"/>
      <c r="E429" s="73" t="n"/>
      <c r="F429" s="48" t="n"/>
      <c r="G429" s="48" t="n"/>
      <c r="H429" s="48" t="n"/>
      <c r="I429" s="48" t="n"/>
      <c r="J429" s="12">
        <f>IF(A429="","",TEXT(A429,"MMMM YYYY"))</f>
        <v/>
      </c>
      <c r="K429" s="12">
        <f>IF(A429="","",WEEKNUM(A429))</f>
        <v/>
      </c>
      <c r="L429" s="12">
        <f>IF(A429="","",MONTH(A429))</f>
        <v/>
      </c>
      <c r="M429" s="12">
        <f>IF(A429="","",YEAR(A429))</f>
        <v/>
      </c>
    </row>
    <row r="430">
      <c r="A430" s="43" t="n"/>
      <c r="B430" s="44" t="n"/>
      <c r="C430" s="44" t="n"/>
      <c r="D430" s="44" t="n"/>
      <c r="E430" s="72" t="n"/>
      <c r="F430" s="44" t="n"/>
      <c r="G430" s="44" t="n"/>
      <c r="H430" s="44" t="n"/>
      <c r="I430" s="44" t="n"/>
      <c r="J430" s="9">
        <f>IF(A430="","",TEXT(A430,"MMMM YYYY"))</f>
        <v/>
      </c>
      <c r="K430" s="9">
        <f>IF(A430="","",WEEKNUM(A430))</f>
        <v/>
      </c>
      <c r="L430" s="9">
        <f>IF(A430="","",MONTH(A430))</f>
        <v/>
      </c>
      <c r="M430" s="9">
        <f>IF(A430="","",YEAR(A430))</f>
        <v/>
      </c>
    </row>
    <row r="431">
      <c r="A431" s="47" t="n"/>
      <c r="B431" s="48" t="n"/>
      <c r="C431" s="48" t="n"/>
      <c r="D431" s="48" t="n"/>
      <c r="E431" s="73" t="n"/>
      <c r="F431" s="48" t="n"/>
      <c r="G431" s="48" t="n"/>
      <c r="H431" s="48" t="n"/>
      <c r="I431" s="48" t="n"/>
      <c r="J431" s="12">
        <f>IF(A431="","",TEXT(A431,"MMMM YYYY"))</f>
        <v/>
      </c>
      <c r="K431" s="12">
        <f>IF(A431="","",WEEKNUM(A431))</f>
        <v/>
      </c>
      <c r="L431" s="12">
        <f>IF(A431="","",MONTH(A431))</f>
        <v/>
      </c>
      <c r="M431" s="12">
        <f>IF(A431="","",YEAR(A431))</f>
        <v/>
      </c>
    </row>
    <row r="432">
      <c r="A432" s="43" t="n"/>
      <c r="B432" s="44" t="n"/>
      <c r="C432" s="44" t="n"/>
      <c r="D432" s="44" t="n"/>
      <c r="E432" s="72" t="n"/>
      <c r="F432" s="44" t="n"/>
      <c r="G432" s="44" t="n"/>
      <c r="H432" s="44" t="n"/>
      <c r="I432" s="44" t="n"/>
      <c r="J432" s="9">
        <f>IF(A432="","",TEXT(A432,"MMMM YYYY"))</f>
        <v/>
      </c>
      <c r="K432" s="9">
        <f>IF(A432="","",WEEKNUM(A432))</f>
        <v/>
      </c>
      <c r="L432" s="9">
        <f>IF(A432="","",MONTH(A432))</f>
        <v/>
      </c>
      <c r="M432" s="9">
        <f>IF(A432="","",YEAR(A432))</f>
        <v/>
      </c>
    </row>
    <row r="433">
      <c r="A433" s="47" t="n"/>
      <c r="B433" s="48" t="n"/>
      <c r="C433" s="48" t="n"/>
      <c r="D433" s="48" t="n"/>
      <c r="E433" s="73" t="n"/>
      <c r="F433" s="48" t="n"/>
      <c r="G433" s="48" t="n"/>
      <c r="H433" s="48" t="n"/>
      <c r="I433" s="48" t="n"/>
      <c r="J433" s="12">
        <f>IF(A433="","",TEXT(A433,"MMMM YYYY"))</f>
        <v/>
      </c>
      <c r="K433" s="12">
        <f>IF(A433="","",WEEKNUM(A433))</f>
        <v/>
      </c>
      <c r="L433" s="12">
        <f>IF(A433="","",MONTH(A433))</f>
        <v/>
      </c>
      <c r="M433" s="12">
        <f>IF(A433="","",YEAR(A433))</f>
        <v/>
      </c>
    </row>
    <row r="434">
      <c r="A434" s="43" t="n"/>
      <c r="B434" s="44" t="n"/>
      <c r="C434" s="44" t="n"/>
      <c r="D434" s="44" t="n"/>
      <c r="E434" s="72" t="n"/>
      <c r="F434" s="44" t="n"/>
      <c r="G434" s="44" t="n"/>
      <c r="H434" s="44" t="n"/>
      <c r="I434" s="44" t="n"/>
      <c r="J434" s="9">
        <f>IF(A434="","",TEXT(A434,"MMMM YYYY"))</f>
        <v/>
      </c>
      <c r="K434" s="9">
        <f>IF(A434="","",WEEKNUM(A434))</f>
        <v/>
      </c>
      <c r="L434" s="9">
        <f>IF(A434="","",MONTH(A434))</f>
        <v/>
      </c>
      <c r="M434" s="9">
        <f>IF(A434="","",YEAR(A434))</f>
        <v/>
      </c>
    </row>
    <row r="435">
      <c r="A435" s="47" t="n"/>
      <c r="B435" s="48" t="n"/>
      <c r="C435" s="48" t="n"/>
      <c r="D435" s="48" t="n"/>
      <c r="E435" s="73" t="n"/>
      <c r="F435" s="48" t="n"/>
      <c r="G435" s="48" t="n"/>
      <c r="H435" s="48" t="n"/>
      <c r="I435" s="48" t="n"/>
      <c r="J435" s="12">
        <f>IF(A435="","",TEXT(A435,"MMMM YYYY"))</f>
        <v/>
      </c>
      <c r="K435" s="12">
        <f>IF(A435="","",WEEKNUM(A435))</f>
        <v/>
      </c>
      <c r="L435" s="12">
        <f>IF(A435="","",MONTH(A435))</f>
        <v/>
      </c>
      <c r="M435" s="12">
        <f>IF(A435="","",YEAR(A435))</f>
        <v/>
      </c>
    </row>
    <row r="436">
      <c r="A436" s="43" t="n"/>
      <c r="B436" s="44" t="n"/>
      <c r="C436" s="44" t="n"/>
      <c r="D436" s="44" t="n"/>
      <c r="E436" s="72" t="n"/>
      <c r="F436" s="44" t="n"/>
      <c r="G436" s="44" t="n"/>
      <c r="H436" s="44" t="n"/>
      <c r="I436" s="44" t="n"/>
      <c r="J436" s="9">
        <f>IF(A436="","",TEXT(A436,"MMMM YYYY"))</f>
        <v/>
      </c>
      <c r="K436" s="9">
        <f>IF(A436="","",WEEKNUM(A436))</f>
        <v/>
      </c>
      <c r="L436" s="9">
        <f>IF(A436="","",MONTH(A436))</f>
        <v/>
      </c>
      <c r="M436" s="9">
        <f>IF(A436="","",YEAR(A436))</f>
        <v/>
      </c>
    </row>
    <row r="437">
      <c r="A437" s="47" t="n"/>
      <c r="B437" s="48" t="n"/>
      <c r="C437" s="48" t="n"/>
      <c r="D437" s="48" t="n"/>
      <c r="E437" s="73" t="n"/>
      <c r="F437" s="48" t="n"/>
      <c r="G437" s="48" t="n"/>
      <c r="H437" s="48" t="n"/>
      <c r="I437" s="48" t="n"/>
      <c r="J437" s="12">
        <f>IF(A437="","",TEXT(A437,"MMMM YYYY"))</f>
        <v/>
      </c>
      <c r="K437" s="12">
        <f>IF(A437="","",WEEKNUM(A437))</f>
        <v/>
      </c>
      <c r="L437" s="12">
        <f>IF(A437="","",MONTH(A437))</f>
        <v/>
      </c>
      <c r="M437" s="12">
        <f>IF(A437="","",YEAR(A437))</f>
        <v/>
      </c>
    </row>
    <row r="438">
      <c r="A438" s="43" t="n"/>
      <c r="B438" s="44" t="n"/>
      <c r="C438" s="44" t="n"/>
      <c r="D438" s="44" t="n"/>
      <c r="E438" s="72" t="n"/>
      <c r="F438" s="44" t="n"/>
      <c r="G438" s="44" t="n"/>
      <c r="H438" s="44" t="n"/>
      <c r="I438" s="44" t="n"/>
      <c r="J438" s="9">
        <f>IF(A438="","",TEXT(A438,"MMMM YYYY"))</f>
        <v/>
      </c>
      <c r="K438" s="9">
        <f>IF(A438="","",WEEKNUM(A438))</f>
        <v/>
      </c>
      <c r="L438" s="9">
        <f>IF(A438="","",MONTH(A438))</f>
        <v/>
      </c>
      <c r="M438" s="9">
        <f>IF(A438="","",YEAR(A438))</f>
        <v/>
      </c>
    </row>
    <row r="439">
      <c r="A439" s="47" t="n"/>
      <c r="B439" s="48" t="n"/>
      <c r="C439" s="48" t="n"/>
      <c r="D439" s="48" t="n"/>
      <c r="E439" s="73" t="n"/>
      <c r="F439" s="48" t="n"/>
      <c r="G439" s="48" t="n"/>
      <c r="H439" s="48" t="n"/>
      <c r="I439" s="48" t="n"/>
      <c r="J439" s="12">
        <f>IF(A439="","",TEXT(A439,"MMMM YYYY"))</f>
        <v/>
      </c>
      <c r="K439" s="12">
        <f>IF(A439="","",WEEKNUM(A439))</f>
        <v/>
      </c>
      <c r="L439" s="12">
        <f>IF(A439="","",MONTH(A439))</f>
        <v/>
      </c>
      <c r="M439" s="12">
        <f>IF(A439="","",YEAR(A439))</f>
        <v/>
      </c>
    </row>
    <row r="440">
      <c r="A440" s="43" t="n"/>
      <c r="B440" s="44" t="n"/>
      <c r="C440" s="44" t="n"/>
      <c r="D440" s="44" t="n"/>
      <c r="E440" s="72" t="n"/>
      <c r="F440" s="44" t="n"/>
      <c r="G440" s="44" t="n"/>
      <c r="H440" s="44" t="n"/>
      <c r="I440" s="44" t="n"/>
      <c r="J440" s="9">
        <f>IF(A440="","",TEXT(A440,"MMMM YYYY"))</f>
        <v/>
      </c>
      <c r="K440" s="9">
        <f>IF(A440="","",WEEKNUM(A440))</f>
        <v/>
      </c>
      <c r="L440" s="9">
        <f>IF(A440="","",MONTH(A440))</f>
        <v/>
      </c>
      <c r="M440" s="9">
        <f>IF(A440="","",YEAR(A440))</f>
        <v/>
      </c>
    </row>
    <row r="441">
      <c r="A441" s="47" t="n"/>
      <c r="B441" s="48" t="n"/>
      <c r="C441" s="48" t="n"/>
      <c r="D441" s="48" t="n"/>
      <c r="E441" s="73" t="n"/>
      <c r="F441" s="48" t="n"/>
      <c r="G441" s="48" t="n"/>
      <c r="H441" s="48" t="n"/>
      <c r="I441" s="48" t="n"/>
      <c r="J441" s="12">
        <f>IF(A441="","",TEXT(A441,"MMMM YYYY"))</f>
        <v/>
      </c>
      <c r="K441" s="12">
        <f>IF(A441="","",WEEKNUM(A441))</f>
        <v/>
      </c>
      <c r="L441" s="12">
        <f>IF(A441="","",MONTH(A441))</f>
        <v/>
      </c>
      <c r="M441" s="12">
        <f>IF(A441="","",YEAR(A441))</f>
        <v/>
      </c>
    </row>
    <row r="442">
      <c r="A442" s="43" t="n"/>
      <c r="B442" s="44" t="n"/>
      <c r="C442" s="44" t="n"/>
      <c r="D442" s="44" t="n"/>
      <c r="E442" s="72" t="n"/>
      <c r="F442" s="44" t="n"/>
      <c r="G442" s="44" t="n"/>
      <c r="H442" s="44" t="n"/>
      <c r="I442" s="44" t="n"/>
      <c r="J442" s="9">
        <f>IF(A442="","",TEXT(A442,"MMMM YYYY"))</f>
        <v/>
      </c>
      <c r="K442" s="9">
        <f>IF(A442="","",WEEKNUM(A442))</f>
        <v/>
      </c>
      <c r="L442" s="9">
        <f>IF(A442="","",MONTH(A442))</f>
        <v/>
      </c>
      <c r="M442" s="9">
        <f>IF(A442="","",YEAR(A442))</f>
        <v/>
      </c>
    </row>
    <row r="443">
      <c r="A443" s="47" t="n"/>
      <c r="B443" s="48" t="n"/>
      <c r="C443" s="48" t="n"/>
      <c r="D443" s="48" t="n"/>
      <c r="E443" s="73" t="n"/>
      <c r="F443" s="48" t="n"/>
      <c r="G443" s="48" t="n"/>
      <c r="H443" s="48" t="n"/>
      <c r="I443" s="48" t="n"/>
      <c r="J443" s="12">
        <f>IF(A443="","",TEXT(A443,"MMMM YYYY"))</f>
        <v/>
      </c>
      <c r="K443" s="12">
        <f>IF(A443="","",WEEKNUM(A443))</f>
        <v/>
      </c>
      <c r="L443" s="12">
        <f>IF(A443="","",MONTH(A443))</f>
        <v/>
      </c>
      <c r="M443" s="12">
        <f>IF(A443="","",YEAR(A443))</f>
        <v/>
      </c>
    </row>
    <row r="444">
      <c r="A444" s="43" t="n"/>
      <c r="B444" s="44" t="n"/>
      <c r="C444" s="44" t="n"/>
      <c r="D444" s="44" t="n"/>
      <c r="E444" s="72" t="n"/>
      <c r="F444" s="44" t="n"/>
      <c r="G444" s="44" t="n"/>
      <c r="H444" s="44" t="n"/>
      <c r="I444" s="44" t="n"/>
      <c r="J444" s="9">
        <f>IF(A444="","",TEXT(A444,"MMMM YYYY"))</f>
        <v/>
      </c>
      <c r="K444" s="9">
        <f>IF(A444="","",WEEKNUM(A444))</f>
        <v/>
      </c>
      <c r="L444" s="9">
        <f>IF(A444="","",MONTH(A444))</f>
        <v/>
      </c>
      <c r="M444" s="9">
        <f>IF(A444="","",YEAR(A444))</f>
        <v/>
      </c>
    </row>
    <row r="445">
      <c r="A445" s="47" t="n"/>
      <c r="B445" s="48" t="n"/>
      <c r="C445" s="48" t="n"/>
      <c r="D445" s="48" t="n"/>
      <c r="E445" s="73" t="n"/>
      <c r="F445" s="48" t="n"/>
      <c r="G445" s="48" t="n"/>
      <c r="H445" s="48" t="n"/>
      <c r="I445" s="48" t="n"/>
      <c r="J445" s="12">
        <f>IF(A445="","",TEXT(A445,"MMMM YYYY"))</f>
        <v/>
      </c>
      <c r="K445" s="12">
        <f>IF(A445="","",WEEKNUM(A445))</f>
        <v/>
      </c>
      <c r="L445" s="12">
        <f>IF(A445="","",MONTH(A445))</f>
        <v/>
      </c>
      <c r="M445" s="12">
        <f>IF(A445="","",YEAR(A445))</f>
        <v/>
      </c>
    </row>
    <row r="446">
      <c r="A446" s="43" t="n"/>
      <c r="B446" s="44" t="n"/>
      <c r="C446" s="44" t="n"/>
      <c r="D446" s="44" t="n"/>
      <c r="E446" s="72" t="n"/>
      <c r="F446" s="44" t="n"/>
      <c r="G446" s="44" t="n"/>
      <c r="H446" s="44" t="n"/>
      <c r="I446" s="44" t="n"/>
      <c r="J446" s="9">
        <f>IF(A446="","",TEXT(A446,"MMMM YYYY"))</f>
        <v/>
      </c>
      <c r="K446" s="9">
        <f>IF(A446="","",WEEKNUM(A446))</f>
        <v/>
      </c>
      <c r="L446" s="9">
        <f>IF(A446="","",MONTH(A446))</f>
        <v/>
      </c>
      <c r="M446" s="9">
        <f>IF(A446="","",YEAR(A446))</f>
        <v/>
      </c>
    </row>
    <row r="447">
      <c r="A447" s="47" t="n"/>
      <c r="B447" s="48" t="n"/>
      <c r="C447" s="48" t="n"/>
      <c r="D447" s="48" t="n"/>
      <c r="E447" s="73" t="n"/>
      <c r="F447" s="48" t="n"/>
      <c r="G447" s="48" t="n"/>
      <c r="H447" s="48" t="n"/>
      <c r="I447" s="48" t="n"/>
      <c r="J447" s="12">
        <f>IF(A447="","",TEXT(A447,"MMMM YYYY"))</f>
        <v/>
      </c>
      <c r="K447" s="12">
        <f>IF(A447="","",WEEKNUM(A447))</f>
        <v/>
      </c>
      <c r="L447" s="12">
        <f>IF(A447="","",MONTH(A447))</f>
        <v/>
      </c>
      <c r="M447" s="12">
        <f>IF(A447="","",YEAR(A447))</f>
        <v/>
      </c>
    </row>
    <row r="448">
      <c r="A448" s="43" t="n"/>
      <c r="B448" s="44" t="n"/>
      <c r="C448" s="44" t="n"/>
      <c r="D448" s="44" t="n"/>
      <c r="E448" s="72" t="n"/>
      <c r="F448" s="44" t="n"/>
      <c r="G448" s="44" t="n"/>
      <c r="H448" s="44" t="n"/>
      <c r="I448" s="44" t="n"/>
      <c r="J448" s="9">
        <f>IF(A448="","",TEXT(A448,"MMMM YYYY"))</f>
        <v/>
      </c>
      <c r="K448" s="9">
        <f>IF(A448="","",WEEKNUM(A448))</f>
        <v/>
      </c>
      <c r="L448" s="9">
        <f>IF(A448="","",MONTH(A448))</f>
        <v/>
      </c>
      <c r="M448" s="9">
        <f>IF(A448="","",YEAR(A448))</f>
        <v/>
      </c>
    </row>
    <row r="449">
      <c r="A449" s="47" t="n"/>
      <c r="B449" s="48" t="n"/>
      <c r="C449" s="48" t="n"/>
      <c r="D449" s="48" t="n"/>
      <c r="E449" s="73" t="n"/>
      <c r="F449" s="48" t="n"/>
      <c r="G449" s="48" t="n"/>
      <c r="H449" s="48" t="n"/>
      <c r="I449" s="48" t="n"/>
      <c r="J449" s="12">
        <f>IF(A449="","",TEXT(A449,"MMMM YYYY"))</f>
        <v/>
      </c>
      <c r="K449" s="12">
        <f>IF(A449="","",WEEKNUM(A449))</f>
        <v/>
      </c>
      <c r="L449" s="12">
        <f>IF(A449="","",MONTH(A449))</f>
        <v/>
      </c>
      <c r="M449" s="12">
        <f>IF(A449="","",YEAR(A449))</f>
        <v/>
      </c>
    </row>
    <row r="450">
      <c r="A450" s="43" t="n"/>
      <c r="B450" s="44" t="n"/>
      <c r="C450" s="44" t="n"/>
      <c r="D450" s="44" t="n"/>
      <c r="E450" s="72" t="n"/>
      <c r="F450" s="44" t="n"/>
      <c r="G450" s="44" t="n"/>
      <c r="H450" s="44" t="n"/>
      <c r="I450" s="44" t="n"/>
      <c r="J450" s="9">
        <f>IF(A450="","",TEXT(A450,"MMMM YYYY"))</f>
        <v/>
      </c>
      <c r="K450" s="9">
        <f>IF(A450="","",WEEKNUM(A450))</f>
        <v/>
      </c>
      <c r="L450" s="9">
        <f>IF(A450="","",MONTH(A450))</f>
        <v/>
      </c>
      <c r="M450" s="9">
        <f>IF(A450="","",YEAR(A450))</f>
        <v/>
      </c>
    </row>
    <row r="451">
      <c r="A451" s="47" t="n"/>
      <c r="B451" s="48" t="n"/>
      <c r="C451" s="48" t="n"/>
      <c r="D451" s="48" t="n"/>
      <c r="E451" s="73" t="n"/>
      <c r="F451" s="48" t="n"/>
      <c r="G451" s="48" t="n"/>
      <c r="H451" s="48" t="n"/>
      <c r="I451" s="48" t="n"/>
      <c r="J451" s="12">
        <f>IF(A451="","",TEXT(A451,"MMMM YYYY"))</f>
        <v/>
      </c>
      <c r="K451" s="12">
        <f>IF(A451="","",WEEKNUM(A451))</f>
        <v/>
      </c>
      <c r="L451" s="12">
        <f>IF(A451="","",MONTH(A451))</f>
        <v/>
      </c>
      <c r="M451" s="12">
        <f>IF(A451="","",YEAR(A451))</f>
        <v/>
      </c>
    </row>
    <row r="452">
      <c r="A452" s="43" t="n"/>
      <c r="B452" s="44" t="n"/>
      <c r="C452" s="44" t="n"/>
      <c r="D452" s="44" t="n"/>
      <c r="E452" s="72" t="n"/>
      <c r="F452" s="44" t="n"/>
      <c r="G452" s="44" t="n"/>
      <c r="H452" s="44" t="n"/>
      <c r="I452" s="44" t="n"/>
      <c r="J452" s="9">
        <f>IF(A452="","",TEXT(A452,"MMMM YYYY"))</f>
        <v/>
      </c>
      <c r="K452" s="9">
        <f>IF(A452="","",WEEKNUM(A452))</f>
        <v/>
      </c>
      <c r="L452" s="9">
        <f>IF(A452="","",MONTH(A452))</f>
        <v/>
      </c>
      <c r="M452" s="9">
        <f>IF(A452="","",YEAR(A452))</f>
        <v/>
      </c>
    </row>
    <row r="453">
      <c r="A453" s="47" t="n"/>
      <c r="B453" s="48" t="n"/>
      <c r="C453" s="48" t="n"/>
      <c r="D453" s="48" t="n"/>
      <c r="E453" s="73" t="n"/>
      <c r="F453" s="48" t="n"/>
      <c r="G453" s="48" t="n"/>
      <c r="H453" s="48" t="n"/>
      <c r="I453" s="48" t="n"/>
      <c r="J453" s="12">
        <f>IF(A453="","",TEXT(A453,"MMMM YYYY"))</f>
        <v/>
      </c>
      <c r="K453" s="12">
        <f>IF(A453="","",WEEKNUM(A453))</f>
        <v/>
      </c>
      <c r="L453" s="12">
        <f>IF(A453="","",MONTH(A453))</f>
        <v/>
      </c>
      <c r="M453" s="12">
        <f>IF(A453="","",YEAR(A453))</f>
        <v/>
      </c>
    </row>
    <row r="454">
      <c r="A454" s="43" t="n"/>
      <c r="B454" s="44" t="n"/>
      <c r="C454" s="44" t="n"/>
      <c r="D454" s="44" t="n"/>
      <c r="E454" s="72" t="n"/>
      <c r="F454" s="44" t="n"/>
      <c r="G454" s="44" t="n"/>
      <c r="H454" s="44" t="n"/>
      <c r="I454" s="44" t="n"/>
      <c r="J454" s="9">
        <f>IF(A454="","",TEXT(A454,"MMMM YYYY"))</f>
        <v/>
      </c>
      <c r="K454" s="9">
        <f>IF(A454="","",WEEKNUM(A454))</f>
        <v/>
      </c>
      <c r="L454" s="9">
        <f>IF(A454="","",MONTH(A454))</f>
        <v/>
      </c>
      <c r="M454" s="9">
        <f>IF(A454="","",YEAR(A454))</f>
        <v/>
      </c>
    </row>
    <row r="455">
      <c r="A455" s="47" t="n"/>
      <c r="B455" s="48" t="n"/>
      <c r="C455" s="48" t="n"/>
      <c r="D455" s="48" t="n"/>
      <c r="E455" s="73" t="n"/>
      <c r="F455" s="48" t="n"/>
      <c r="G455" s="48" t="n"/>
      <c r="H455" s="48" t="n"/>
      <c r="I455" s="48" t="n"/>
      <c r="J455" s="12">
        <f>IF(A455="","",TEXT(A455,"MMMM YYYY"))</f>
        <v/>
      </c>
      <c r="K455" s="12">
        <f>IF(A455="","",WEEKNUM(A455))</f>
        <v/>
      </c>
      <c r="L455" s="12">
        <f>IF(A455="","",MONTH(A455))</f>
        <v/>
      </c>
      <c r="M455" s="12">
        <f>IF(A455="","",YEAR(A455))</f>
        <v/>
      </c>
    </row>
    <row r="456">
      <c r="A456" s="43" t="n"/>
      <c r="B456" s="44" t="n"/>
      <c r="C456" s="44" t="n"/>
      <c r="D456" s="44" t="n"/>
      <c r="E456" s="72" t="n"/>
      <c r="F456" s="44" t="n"/>
      <c r="G456" s="44" t="n"/>
      <c r="H456" s="44" t="n"/>
      <c r="I456" s="44" t="n"/>
      <c r="J456" s="9">
        <f>IF(A456="","",TEXT(A456,"MMMM YYYY"))</f>
        <v/>
      </c>
      <c r="K456" s="9">
        <f>IF(A456="","",WEEKNUM(A456))</f>
        <v/>
      </c>
      <c r="L456" s="9">
        <f>IF(A456="","",MONTH(A456))</f>
        <v/>
      </c>
      <c r="M456" s="9">
        <f>IF(A456="","",YEAR(A456))</f>
        <v/>
      </c>
    </row>
    <row r="457">
      <c r="A457" s="47" t="n"/>
      <c r="B457" s="48" t="n"/>
      <c r="C457" s="48" t="n"/>
      <c r="D457" s="48" t="n"/>
      <c r="E457" s="73" t="n"/>
      <c r="F457" s="48" t="n"/>
      <c r="G457" s="48" t="n"/>
      <c r="H457" s="48" t="n"/>
      <c r="I457" s="48" t="n"/>
      <c r="J457" s="12">
        <f>IF(A457="","",TEXT(A457,"MMMM YYYY"))</f>
        <v/>
      </c>
      <c r="K457" s="12">
        <f>IF(A457="","",WEEKNUM(A457))</f>
        <v/>
      </c>
      <c r="L457" s="12">
        <f>IF(A457="","",MONTH(A457))</f>
        <v/>
      </c>
      <c r="M457" s="12">
        <f>IF(A457="","",YEAR(A457))</f>
        <v/>
      </c>
    </row>
    <row r="458">
      <c r="A458" s="43" t="n"/>
      <c r="B458" s="44" t="n"/>
      <c r="C458" s="44" t="n"/>
      <c r="D458" s="44" t="n"/>
      <c r="E458" s="72" t="n"/>
      <c r="F458" s="44" t="n"/>
      <c r="G458" s="44" t="n"/>
      <c r="H458" s="44" t="n"/>
      <c r="I458" s="44" t="n"/>
      <c r="J458" s="9">
        <f>IF(A458="","",TEXT(A458,"MMMM YYYY"))</f>
        <v/>
      </c>
      <c r="K458" s="9">
        <f>IF(A458="","",WEEKNUM(A458))</f>
        <v/>
      </c>
      <c r="L458" s="9">
        <f>IF(A458="","",MONTH(A458))</f>
        <v/>
      </c>
      <c r="M458" s="9">
        <f>IF(A458="","",YEAR(A458))</f>
        <v/>
      </c>
    </row>
    <row r="459">
      <c r="A459" s="47" t="n"/>
      <c r="B459" s="48" t="n"/>
      <c r="C459" s="48" t="n"/>
      <c r="D459" s="48" t="n"/>
      <c r="E459" s="73" t="n"/>
      <c r="F459" s="48" t="n"/>
      <c r="G459" s="48" t="n"/>
      <c r="H459" s="48" t="n"/>
      <c r="I459" s="48" t="n"/>
      <c r="J459" s="12">
        <f>IF(A459="","",TEXT(A459,"MMMM YYYY"))</f>
        <v/>
      </c>
      <c r="K459" s="12">
        <f>IF(A459="","",WEEKNUM(A459))</f>
        <v/>
      </c>
      <c r="L459" s="12">
        <f>IF(A459="","",MONTH(A459))</f>
        <v/>
      </c>
      <c r="M459" s="12">
        <f>IF(A459="","",YEAR(A459))</f>
        <v/>
      </c>
    </row>
    <row r="460">
      <c r="A460" s="43" t="n"/>
      <c r="B460" s="44" t="n"/>
      <c r="C460" s="44" t="n"/>
      <c r="D460" s="44" t="n"/>
      <c r="E460" s="72" t="n"/>
      <c r="F460" s="44" t="n"/>
      <c r="G460" s="44" t="n"/>
      <c r="H460" s="44" t="n"/>
      <c r="I460" s="44" t="n"/>
      <c r="J460" s="9">
        <f>IF(A460="","",TEXT(A460,"MMMM YYYY"))</f>
        <v/>
      </c>
      <c r="K460" s="9">
        <f>IF(A460="","",WEEKNUM(A460))</f>
        <v/>
      </c>
      <c r="L460" s="9">
        <f>IF(A460="","",MONTH(A460))</f>
        <v/>
      </c>
      <c r="M460" s="9">
        <f>IF(A460="","",YEAR(A460))</f>
        <v/>
      </c>
    </row>
    <row r="461">
      <c r="A461" s="47" t="n"/>
      <c r="B461" s="48" t="n"/>
      <c r="C461" s="48" t="n"/>
      <c r="D461" s="48" t="n"/>
      <c r="E461" s="73" t="n"/>
      <c r="F461" s="48" t="n"/>
      <c r="G461" s="48" t="n"/>
      <c r="H461" s="48" t="n"/>
      <c r="I461" s="48" t="n"/>
      <c r="J461" s="12">
        <f>IF(A461="","",TEXT(A461,"MMMM YYYY"))</f>
        <v/>
      </c>
      <c r="K461" s="12">
        <f>IF(A461="","",WEEKNUM(A461))</f>
        <v/>
      </c>
      <c r="L461" s="12">
        <f>IF(A461="","",MONTH(A461))</f>
        <v/>
      </c>
      <c r="M461" s="12">
        <f>IF(A461="","",YEAR(A461))</f>
        <v/>
      </c>
    </row>
    <row r="462">
      <c r="A462" s="43" t="n"/>
      <c r="B462" s="44" t="n"/>
      <c r="C462" s="44" t="n"/>
      <c r="D462" s="44" t="n"/>
      <c r="E462" s="72" t="n"/>
      <c r="F462" s="44" t="n"/>
      <c r="G462" s="44" t="n"/>
      <c r="H462" s="44" t="n"/>
      <c r="I462" s="44" t="n"/>
      <c r="J462" s="9">
        <f>IF(A462="","",TEXT(A462,"MMMM YYYY"))</f>
        <v/>
      </c>
      <c r="K462" s="9">
        <f>IF(A462="","",WEEKNUM(A462))</f>
        <v/>
      </c>
      <c r="L462" s="9">
        <f>IF(A462="","",MONTH(A462))</f>
        <v/>
      </c>
      <c r="M462" s="9">
        <f>IF(A462="","",YEAR(A462))</f>
        <v/>
      </c>
    </row>
    <row r="463">
      <c r="A463" s="47" t="n"/>
      <c r="B463" s="48" t="n"/>
      <c r="C463" s="48" t="n"/>
      <c r="D463" s="48" t="n"/>
      <c r="E463" s="73" t="n"/>
      <c r="F463" s="48" t="n"/>
      <c r="G463" s="48" t="n"/>
      <c r="H463" s="48" t="n"/>
      <c r="I463" s="48" t="n"/>
      <c r="J463" s="12">
        <f>IF(A463="","",TEXT(A463,"MMMM YYYY"))</f>
        <v/>
      </c>
      <c r="K463" s="12">
        <f>IF(A463="","",WEEKNUM(A463))</f>
        <v/>
      </c>
      <c r="L463" s="12">
        <f>IF(A463="","",MONTH(A463))</f>
        <v/>
      </c>
      <c r="M463" s="12">
        <f>IF(A463="","",YEAR(A463))</f>
        <v/>
      </c>
    </row>
    <row r="464">
      <c r="A464" s="43" t="n"/>
      <c r="B464" s="44" t="n"/>
      <c r="C464" s="44" t="n"/>
      <c r="D464" s="44" t="n"/>
      <c r="E464" s="72" t="n"/>
      <c r="F464" s="44" t="n"/>
      <c r="G464" s="44" t="n"/>
      <c r="H464" s="44" t="n"/>
      <c r="I464" s="44" t="n"/>
      <c r="J464" s="9">
        <f>IF(A464="","",TEXT(A464,"MMMM YYYY"))</f>
        <v/>
      </c>
      <c r="K464" s="9">
        <f>IF(A464="","",WEEKNUM(A464))</f>
        <v/>
      </c>
      <c r="L464" s="9">
        <f>IF(A464="","",MONTH(A464))</f>
        <v/>
      </c>
      <c r="M464" s="9">
        <f>IF(A464="","",YEAR(A464))</f>
        <v/>
      </c>
    </row>
    <row r="465">
      <c r="A465" s="47" t="n"/>
      <c r="B465" s="48" t="n"/>
      <c r="C465" s="48" t="n"/>
      <c r="D465" s="48" t="n"/>
      <c r="E465" s="73" t="n"/>
      <c r="F465" s="48" t="n"/>
      <c r="G465" s="48" t="n"/>
      <c r="H465" s="48" t="n"/>
      <c r="I465" s="48" t="n"/>
      <c r="J465" s="12">
        <f>IF(A465="","",TEXT(A465,"MMMM YYYY"))</f>
        <v/>
      </c>
      <c r="K465" s="12">
        <f>IF(A465="","",WEEKNUM(A465))</f>
        <v/>
      </c>
      <c r="L465" s="12">
        <f>IF(A465="","",MONTH(A465))</f>
        <v/>
      </c>
      <c r="M465" s="12">
        <f>IF(A465="","",YEAR(A465))</f>
        <v/>
      </c>
    </row>
    <row r="466">
      <c r="A466" s="43" t="n"/>
      <c r="B466" s="44" t="n"/>
      <c r="C466" s="44" t="n"/>
      <c r="D466" s="44" t="n"/>
      <c r="E466" s="72" t="n"/>
      <c r="F466" s="44" t="n"/>
      <c r="G466" s="44" t="n"/>
      <c r="H466" s="44" t="n"/>
      <c r="I466" s="44" t="n"/>
      <c r="J466" s="9">
        <f>IF(A466="","",TEXT(A466,"MMMM YYYY"))</f>
        <v/>
      </c>
      <c r="K466" s="9">
        <f>IF(A466="","",WEEKNUM(A466))</f>
        <v/>
      </c>
      <c r="L466" s="9">
        <f>IF(A466="","",MONTH(A466))</f>
        <v/>
      </c>
      <c r="M466" s="9">
        <f>IF(A466="","",YEAR(A466))</f>
        <v/>
      </c>
    </row>
    <row r="467">
      <c r="A467" s="47" t="n"/>
      <c r="B467" s="48" t="n"/>
      <c r="C467" s="48" t="n"/>
      <c r="D467" s="48" t="n"/>
      <c r="E467" s="73" t="n"/>
      <c r="F467" s="48" t="n"/>
      <c r="G467" s="48" t="n"/>
      <c r="H467" s="48" t="n"/>
      <c r="I467" s="48" t="n"/>
      <c r="J467" s="12">
        <f>IF(A467="","",TEXT(A467,"MMMM YYYY"))</f>
        <v/>
      </c>
      <c r="K467" s="12">
        <f>IF(A467="","",WEEKNUM(A467))</f>
        <v/>
      </c>
      <c r="L467" s="12">
        <f>IF(A467="","",MONTH(A467))</f>
        <v/>
      </c>
      <c r="M467" s="12">
        <f>IF(A467="","",YEAR(A467))</f>
        <v/>
      </c>
    </row>
    <row r="468">
      <c r="A468" s="43" t="n"/>
      <c r="B468" s="44" t="n"/>
      <c r="C468" s="44" t="n"/>
      <c r="D468" s="44" t="n"/>
      <c r="E468" s="72" t="n"/>
      <c r="F468" s="44" t="n"/>
      <c r="G468" s="44" t="n"/>
      <c r="H468" s="44" t="n"/>
      <c r="I468" s="44" t="n"/>
      <c r="J468" s="9">
        <f>IF(A468="","",TEXT(A468,"MMMM YYYY"))</f>
        <v/>
      </c>
      <c r="K468" s="9">
        <f>IF(A468="","",WEEKNUM(A468))</f>
        <v/>
      </c>
      <c r="L468" s="9">
        <f>IF(A468="","",MONTH(A468))</f>
        <v/>
      </c>
      <c r="M468" s="9">
        <f>IF(A468="","",YEAR(A468))</f>
        <v/>
      </c>
    </row>
    <row r="469">
      <c r="A469" s="47" t="n"/>
      <c r="B469" s="48" t="n"/>
      <c r="C469" s="48" t="n"/>
      <c r="D469" s="48" t="n"/>
      <c r="E469" s="73" t="n"/>
      <c r="F469" s="48" t="n"/>
      <c r="G469" s="48" t="n"/>
      <c r="H469" s="48" t="n"/>
      <c r="I469" s="48" t="n"/>
      <c r="J469" s="12">
        <f>IF(A469="","",TEXT(A469,"MMMM YYYY"))</f>
        <v/>
      </c>
      <c r="K469" s="12">
        <f>IF(A469="","",WEEKNUM(A469))</f>
        <v/>
      </c>
      <c r="L469" s="12">
        <f>IF(A469="","",MONTH(A469))</f>
        <v/>
      </c>
      <c r="M469" s="12">
        <f>IF(A469="","",YEAR(A469))</f>
        <v/>
      </c>
    </row>
    <row r="470">
      <c r="A470" s="43" t="n"/>
      <c r="B470" s="44" t="n"/>
      <c r="C470" s="44" t="n"/>
      <c r="D470" s="44" t="n"/>
      <c r="E470" s="72" t="n"/>
      <c r="F470" s="44" t="n"/>
      <c r="G470" s="44" t="n"/>
      <c r="H470" s="44" t="n"/>
      <c r="I470" s="44" t="n"/>
      <c r="J470" s="9">
        <f>IF(A470="","",TEXT(A470,"MMMM YYYY"))</f>
        <v/>
      </c>
      <c r="K470" s="9">
        <f>IF(A470="","",WEEKNUM(A470))</f>
        <v/>
      </c>
      <c r="L470" s="9">
        <f>IF(A470="","",MONTH(A470))</f>
        <v/>
      </c>
      <c r="M470" s="9">
        <f>IF(A470="","",YEAR(A470))</f>
        <v/>
      </c>
    </row>
    <row r="471">
      <c r="A471" s="47" t="n"/>
      <c r="B471" s="48" t="n"/>
      <c r="C471" s="48" t="n"/>
      <c r="D471" s="48" t="n"/>
      <c r="E471" s="73" t="n"/>
      <c r="F471" s="48" t="n"/>
      <c r="G471" s="48" t="n"/>
      <c r="H471" s="48" t="n"/>
      <c r="I471" s="48" t="n"/>
      <c r="J471" s="12">
        <f>IF(A471="","",TEXT(A471,"MMMM YYYY"))</f>
        <v/>
      </c>
      <c r="K471" s="12">
        <f>IF(A471="","",WEEKNUM(A471))</f>
        <v/>
      </c>
      <c r="L471" s="12">
        <f>IF(A471="","",MONTH(A471))</f>
        <v/>
      </c>
      <c r="M471" s="12">
        <f>IF(A471="","",YEAR(A471))</f>
        <v/>
      </c>
    </row>
    <row r="472">
      <c r="A472" s="43" t="n"/>
      <c r="B472" s="44" t="n"/>
      <c r="C472" s="44" t="n"/>
      <c r="D472" s="44" t="n"/>
      <c r="E472" s="72" t="n"/>
      <c r="F472" s="44" t="n"/>
      <c r="G472" s="44" t="n"/>
      <c r="H472" s="44" t="n"/>
      <c r="I472" s="44" t="n"/>
      <c r="J472" s="9">
        <f>IF(A472="","",TEXT(A472,"MMMM YYYY"))</f>
        <v/>
      </c>
      <c r="K472" s="9">
        <f>IF(A472="","",WEEKNUM(A472))</f>
        <v/>
      </c>
      <c r="L472" s="9">
        <f>IF(A472="","",MONTH(A472))</f>
        <v/>
      </c>
      <c r="M472" s="9">
        <f>IF(A472="","",YEAR(A472))</f>
        <v/>
      </c>
    </row>
    <row r="473">
      <c r="A473" s="47" t="n"/>
      <c r="B473" s="48" t="n"/>
      <c r="C473" s="48" t="n"/>
      <c r="D473" s="48" t="n"/>
      <c r="E473" s="73" t="n"/>
      <c r="F473" s="48" t="n"/>
      <c r="G473" s="48" t="n"/>
      <c r="H473" s="48" t="n"/>
      <c r="I473" s="48" t="n"/>
      <c r="J473" s="12">
        <f>IF(A473="","",TEXT(A473,"MMMM YYYY"))</f>
        <v/>
      </c>
      <c r="K473" s="12">
        <f>IF(A473="","",WEEKNUM(A473))</f>
        <v/>
      </c>
      <c r="L473" s="12">
        <f>IF(A473="","",MONTH(A473))</f>
        <v/>
      </c>
      <c r="M473" s="12">
        <f>IF(A473="","",YEAR(A473))</f>
        <v/>
      </c>
    </row>
    <row r="474">
      <c r="A474" s="43" t="n"/>
      <c r="B474" s="44" t="n"/>
      <c r="C474" s="44" t="n"/>
      <c r="D474" s="44" t="n"/>
      <c r="E474" s="72" t="n"/>
      <c r="F474" s="44" t="n"/>
      <c r="G474" s="44" t="n"/>
      <c r="H474" s="44" t="n"/>
      <c r="I474" s="44" t="n"/>
      <c r="J474" s="9">
        <f>IF(A474="","",TEXT(A474,"MMMM YYYY"))</f>
        <v/>
      </c>
      <c r="K474" s="9">
        <f>IF(A474="","",WEEKNUM(A474))</f>
        <v/>
      </c>
      <c r="L474" s="9">
        <f>IF(A474="","",MONTH(A474))</f>
        <v/>
      </c>
      <c r="M474" s="9">
        <f>IF(A474="","",YEAR(A474))</f>
        <v/>
      </c>
    </row>
    <row r="475">
      <c r="A475" s="47" t="n"/>
      <c r="B475" s="48" t="n"/>
      <c r="C475" s="48" t="n"/>
      <c r="D475" s="48" t="n"/>
      <c r="E475" s="73" t="n"/>
      <c r="F475" s="48" t="n"/>
      <c r="G475" s="48" t="n"/>
      <c r="H475" s="48" t="n"/>
      <c r="I475" s="48" t="n"/>
      <c r="J475" s="12">
        <f>IF(A475="","",TEXT(A475,"MMMM YYYY"))</f>
        <v/>
      </c>
      <c r="K475" s="12">
        <f>IF(A475="","",WEEKNUM(A475))</f>
        <v/>
      </c>
      <c r="L475" s="12">
        <f>IF(A475="","",MONTH(A475))</f>
        <v/>
      </c>
      <c r="M475" s="12">
        <f>IF(A475="","",YEAR(A475))</f>
        <v/>
      </c>
    </row>
    <row r="476">
      <c r="A476" s="43" t="n"/>
      <c r="B476" s="44" t="n"/>
      <c r="C476" s="44" t="n"/>
      <c r="D476" s="44" t="n"/>
      <c r="E476" s="72" t="n"/>
      <c r="F476" s="44" t="n"/>
      <c r="G476" s="44" t="n"/>
      <c r="H476" s="44" t="n"/>
      <c r="I476" s="44" t="n"/>
      <c r="J476" s="9">
        <f>IF(A476="","",TEXT(A476,"MMMM YYYY"))</f>
        <v/>
      </c>
      <c r="K476" s="9">
        <f>IF(A476="","",WEEKNUM(A476))</f>
        <v/>
      </c>
      <c r="L476" s="9">
        <f>IF(A476="","",MONTH(A476))</f>
        <v/>
      </c>
      <c r="M476" s="9">
        <f>IF(A476="","",YEAR(A476))</f>
        <v/>
      </c>
    </row>
    <row r="477">
      <c r="A477" s="47" t="n"/>
      <c r="B477" s="48" t="n"/>
      <c r="C477" s="48" t="n"/>
      <c r="D477" s="48" t="n"/>
      <c r="E477" s="73" t="n"/>
      <c r="F477" s="48" t="n"/>
      <c r="G477" s="48" t="n"/>
      <c r="H477" s="48" t="n"/>
      <c r="I477" s="48" t="n"/>
      <c r="J477" s="12">
        <f>IF(A477="","",TEXT(A477,"MMMM YYYY"))</f>
        <v/>
      </c>
      <c r="K477" s="12">
        <f>IF(A477="","",WEEKNUM(A477))</f>
        <v/>
      </c>
      <c r="L477" s="12">
        <f>IF(A477="","",MONTH(A477))</f>
        <v/>
      </c>
      <c r="M477" s="12">
        <f>IF(A477="","",YEAR(A477))</f>
        <v/>
      </c>
    </row>
    <row r="478">
      <c r="A478" s="43" t="n"/>
      <c r="B478" s="44" t="n"/>
      <c r="C478" s="44" t="n"/>
      <c r="D478" s="44" t="n"/>
      <c r="E478" s="72" t="n"/>
      <c r="F478" s="44" t="n"/>
      <c r="G478" s="44" t="n"/>
      <c r="H478" s="44" t="n"/>
      <c r="I478" s="44" t="n"/>
      <c r="J478" s="9">
        <f>IF(A478="","",TEXT(A478,"MMMM YYYY"))</f>
        <v/>
      </c>
      <c r="K478" s="9">
        <f>IF(A478="","",WEEKNUM(A478))</f>
        <v/>
      </c>
      <c r="L478" s="9">
        <f>IF(A478="","",MONTH(A478))</f>
        <v/>
      </c>
      <c r="M478" s="9">
        <f>IF(A478="","",YEAR(A478))</f>
        <v/>
      </c>
    </row>
    <row r="479">
      <c r="A479" s="47" t="n"/>
      <c r="B479" s="48" t="n"/>
      <c r="C479" s="48" t="n"/>
      <c r="D479" s="48" t="n"/>
      <c r="E479" s="73" t="n"/>
      <c r="F479" s="48" t="n"/>
      <c r="G479" s="48" t="n"/>
      <c r="H479" s="48" t="n"/>
      <c r="I479" s="48" t="n"/>
      <c r="J479" s="12">
        <f>IF(A479="","",TEXT(A479,"MMMM YYYY"))</f>
        <v/>
      </c>
      <c r="K479" s="12">
        <f>IF(A479="","",WEEKNUM(A479))</f>
        <v/>
      </c>
      <c r="L479" s="12">
        <f>IF(A479="","",MONTH(A479))</f>
        <v/>
      </c>
      <c r="M479" s="12">
        <f>IF(A479="","",YEAR(A479))</f>
        <v/>
      </c>
    </row>
    <row r="480">
      <c r="A480" s="43" t="n"/>
      <c r="B480" s="44" t="n"/>
      <c r="C480" s="44" t="n"/>
      <c r="D480" s="44" t="n"/>
      <c r="E480" s="72" t="n"/>
      <c r="F480" s="44" t="n"/>
      <c r="G480" s="44" t="n"/>
      <c r="H480" s="44" t="n"/>
      <c r="I480" s="44" t="n"/>
      <c r="J480" s="9">
        <f>IF(A480="","",TEXT(A480,"MMMM YYYY"))</f>
        <v/>
      </c>
      <c r="K480" s="9">
        <f>IF(A480="","",WEEKNUM(A480))</f>
        <v/>
      </c>
      <c r="L480" s="9">
        <f>IF(A480="","",MONTH(A480))</f>
        <v/>
      </c>
      <c r="M480" s="9">
        <f>IF(A480="","",YEAR(A480))</f>
        <v/>
      </c>
    </row>
    <row r="481">
      <c r="A481" s="47" t="n"/>
      <c r="B481" s="48" t="n"/>
      <c r="C481" s="48" t="n"/>
      <c r="D481" s="48" t="n"/>
      <c r="E481" s="73" t="n"/>
      <c r="F481" s="48" t="n"/>
      <c r="G481" s="48" t="n"/>
      <c r="H481" s="48" t="n"/>
      <c r="I481" s="48" t="n"/>
      <c r="J481" s="12">
        <f>IF(A481="","",TEXT(A481,"MMMM YYYY"))</f>
        <v/>
      </c>
      <c r="K481" s="12">
        <f>IF(A481="","",WEEKNUM(A481))</f>
        <v/>
      </c>
      <c r="L481" s="12">
        <f>IF(A481="","",MONTH(A481))</f>
        <v/>
      </c>
      <c r="M481" s="12">
        <f>IF(A481="","",YEAR(A481))</f>
        <v/>
      </c>
    </row>
    <row r="482">
      <c r="A482" s="43" t="n"/>
      <c r="B482" s="44" t="n"/>
      <c r="C482" s="44" t="n"/>
      <c r="D482" s="44" t="n"/>
      <c r="E482" s="72" t="n"/>
      <c r="F482" s="44" t="n"/>
      <c r="G482" s="44" t="n"/>
      <c r="H482" s="44" t="n"/>
      <c r="I482" s="44" t="n"/>
      <c r="J482" s="9">
        <f>IF(A482="","",TEXT(A482,"MMMM YYYY"))</f>
        <v/>
      </c>
      <c r="K482" s="9">
        <f>IF(A482="","",WEEKNUM(A482))</f>
        <v/>
      </c>
      <c r="L482" s="9">
        <f>IF(A482="","",MONTH(A482))</f>
        <v/>
      </c>
      <c r="M482" s="9">
        <f>IF(A482="","",YEAR(A482))</f>
        <v/>
      </c>
    </row>
    <row r="483">
      <c r="A483" s="47" t="n"/>
      <c r="B483" s="48" t="n"/>
      <c r="C483" s="48" t="n"/>
      <c r="D483" s="48" t="n"/>
      <c r="E483" s="73" t="n"/>
      <c r="F483" s="48" t="n"/>
      <c r="G483" s="48" t="n"/>
      <c r="H483" s="48" t="n"/>
      <c r="I483" s="48" t="n"/>
      <c r="J483" s="12">
        <f>IF(A483="","",TEXT(A483,"MMMM YYYY"))</f>
        <v/>
      </c>
      <c r="K483" s="12">
        <f>IF(A483="","",WEEKNUM(A483))</f>
        <v/>
      </c>
      <c r="L483" s="12">
        <f>IF(A483="","",MONTH(A483))</f>
        <v/>
      </c>
      <c r="M483" s="12">
        <f>IF(A483="","",YEAR(A483))</f>
        <v/>
      </c>
    </row>
    <row r="484">
      <c r="A484" s="43" t="n"/>
      <c r="B484" s="44" t="n"/>
      <c r="C484" s="44" t="n"/>
      <c r="D484" s="44" t="n"/>
      <c r="E484" s="72" t="n"/>
      <c r="F484" s="44" t="n"/>
      <c r="G484" s="44" t="n"/>
      <c r="H484" s="44" t="n"/>
      <c r="I484" s="44" t="n"/>
      <c r="J484" s="9">
        <f>IF(A484="","",TEXT(A484,"MMMM YYYY"))</f>
        <v/>
      </c>
      <c r="K484" s="9">
        <f>IF(A484="","",WEEKNUM(A484))</f>
        <v/>
      </c>
      <c r="L484" s="9">
        <f>IF(A484="","",MONTH(A484))</f>
        <v/>
      </c>
      <c r="M484" s="9">
        <f>IF(A484="","",YEAR(A484))</f>
        <v/>
      </c>
    </row>
    <row r="485">
      <c r="A485" s="47" t="n"/>
      <c r="B485" s="48" t="n"/>
      <c r="C485" s="48" t="n"/>
      <c r="D485" s="48" t="n"/>
      <c r="E485" s="73" t="n"/>
      <c r="F485" s="48" t="n"/>
      <c r="G485" s="48" t="n"/>
      <c r="H485" s="48" t="n"/>
      <c r="I485" s="48" t="n"/>
      <c r="J485" s="12">
        <f>IF(A485="","",TEXT(A485,"MMMM YYYY"))</f>
        <v/>
      </c>
      <c r="K485" s="12">
        <f>IF(A485="","",WEEKNUM(A485))</f>
        <v/>
      </c>
      <c r="L485" s="12">
        <f>IF(A485="","",MONTH(A485))</f>
        <v/>
      </c>
      <c r="M485" s="12">
        <f>IF(A485="","",YEAR(A485))</f>
        <v/>
      </c>
    </row>
    <row r="486">
      <c r="A486" s="43" t="n"/>
      <c r="B486" s="44" t="n"/>
      <c r="C486" s="44" t="n"/>
      <c r="D486" s="44" t="n"/>
      <c r="E486" s="72" t="n"/>
      <c r="F486" s="44" t="n"/>
      <c r="G486" s="44" t="n"/>
      <c r="H486" s="44" t="n"/>
      <c r="I486" s="44" t="n"/>
      <c r="J486" s="9">
        <f>IF(A486="","",TEXT(A486,"MMMM YYYY"))</f>
        <v/>
      </c>
      <c r="K486" s="9">
        <f>IF(A486="","",WEEKNUM(A486))</f>
        <v/>
      </c>
      <c r="L486" s="9">
        <f>IF(A486="","",MONTH(A486))</f>
        <v/>
      </c>
      <c r="M486" s="9">
        <f>IF(A486="","",YEAR(A486))</f>
        <v/>
      </c>
    </row>
    <row r="487">
      <c r="A487" s="47" t="n"/>
      <c r="B487" s="48" t="n"/>
      <c r="C487" s="48" t="n"/>
      <c r="D487" s="48" t="n"/>
      <c r="E487" s="73" t="n"/>
      <c r="F487" s="48" t="n"/>
      <c r="G487" s="48" t="n"/>
      <c r="H487" s="48" t="n"/>
      <c r="I487" s="48" t="n"/>
      <c r="J487" s="12">
        <f>IF(A487="","",TEXT(A487,"MMMM YYYY"))</f>
        <v/>
      </c>
      <c r="K487" s="12">
        <f>IF(A487="","",WEEKNUM(A487))</f>
        <v/>
      </c>
      <c r="L487" s="12">
        <f>IF(A487="","",MONTH(A487))</f>
        <v/>
      </c>
      <c r="M487" s="12">
        <f>IF(A487="","",YEAR(A487))</f>
        <v/>
      </c>
    </row>
    <row r="488">
      <c r="A488" s="43" t="n"/>
      <c r="B488" s="44" t="n"/>
      <c r="C488" s="44" t="n"/>
      <c r="D488" s="44" t="n"/>
      <c r="E488" s="72" t="n"/>
      <c r="F488" s="44" t="n"/>
      <c r="G488" s="44" t="n"/>
      <c r="H488" s="44" t="n"/>
      <c r="I488" s="44" t="n"/>
      <c r="J488" s="9">
        <f>IF(A488="","",TEXT(A488,"MMMM YYYY"))</f>
        <v/>
      </c>
      <c r="K488" s="9">
        <f>IF(A488="","",WEEKNUM(A488))</f>
        <v/>
      </c>
      <c r="L488" s="9">
        <f>IF(A488="","",MONTH(A488))</f>
        <v/>
      </c>
      <c r="M488" s="9">
        <f>IF(A488="","",YEAR(A488))</f>
        <v/>
      </c>
    </row>
    <row r="489">
      <c r="A489" s="47" t="n"/>
      <c r="B489" s="48" t="n"/>
      <c r="C489" s="48" t="n"/>
      <c r="D489" s="48" t="n"/>
      <c r="E489" s="73" t="n"/>
      <c r="F489" s="48" t="n"/>
      <c r="G489" s="48" t="n"/>
      <c r="H489" s="48" t="n"/>
      <c r="I489" s="48" t="n"/>
      <c r="J489" s="12">
        <f>IF(A489="","",TEXT(A489,"MMMM YYYY"))</f>
        <v/>
      </c>
      <c r="K489" s="12">
        <f>IF(A489="","",WEEKNUM(A489))</f>
        <v/>
      </c>
      <c r="L489" s="12">
        <f>IF(A489="","",MONTH(A489))</f>
        <v/>
      </c>
      <c r="M489" s="12">
        <f>IF(A489="","",YEAR(A489))</f>
        <v/>
      </c>
    </row>
    <row r="490">
      <c r="A490" s="43" t="n"/>
      <c r="B490" s="44" t="n"/>
      <c r="C490" s="44" t="n"/>
      <c r="D490" s="44" t="n"/>
      <c r="E490" s="72" t="n"/>
      <c r="F490" s="44" t="n"/>
      <c r="G490" s="44" t="n"/>
      <c r="H490" s="44" t="n"/>
      <c r="I490" s="44" t="n"/>
      <c r="J490" s="9">
        <f>IF(A490="","",TEXT(A490,"MMMM YYYY"))</f>
        <v/>
      </c>
      <c r="K490" s="9">
        <f>IF(A490="","",WEEKNUM(A490))</f>
        <v/>
      </c>
      <c r="L490" s="9">
        <f>IF(A490="","",MONTH(A490))</f>
        <v/>
      </c>
      <c r="M490" s="9">
        <f>IF(A490="","",YEAR(A490))</f>
        <v/>
      </c>
    </row>
    <row r="491">
      <c r="A491" s="47" t="n"/>
      <c r="B491" s="48" t="n"/>
      <c r="C491" s="48" t="n"/>
      <c r="D491" s="48" t="n"/>
      <c r="E491" s="73" t="n"/>
      <c r="F491" s="48" t="n"/>
      <c r="G491" s="48" t="n"/>
      <c r="H491" s="48" t="n"/>
      <c r="I491" s="48" t="n"/>
      <c r="J491" s="12">
        <f>IF(A491="","",TEXT(A491,"MMMM YYYY"))</f>
        <v/>
      </c>
      <c r="K491" s="12">
        <f>IF(A491="","",WEEKNUM(A491))</f>
        <v/>
      </c>
      <c r="L491" s="12">
        <f>IF(A491="","",MONTH(A491))</f>
        <v/>
      </c>
      <c r="M491" s="12">
        <f>IF(A491="","",YEAR(A491))</f>
        <v/>
      </c>
    </row>
    <row r="492">
      <c r="A492" s="43" t="n"/>
      <c r="B492" s="44" t="n"/>
      <c r="C492" s="44" t="n"/>
      <c r="D492" s="44" t="n"/>
      <c r="E492" s="72" t="n"/>
      <c r="F492" s="44" t="n"/>
      <c r="G492" s="44" t="n"/>
      <c r="H492" s="44" t="n"/>
      <c r="I492" s="44" t="n"/>
      <c r="J492" s="9">
        <f>IF(A492="","",TEXT(A492,"MMMM YYYY"))</f>
        <v/>
      </c>
      <c r="K492" s="9">
        <f>IF(A492="","",WEEKNUM(A492))</f>
        <v/>
      </c>
      <c r="L492" s="9">
        <f>IF(A492="","",MONTH(A492))</f>
        <v/>
      </c>
      <c r="M492" s="9">
        <f>IF(A492="","",YEAR(A492))</f>
        <v/>
      </c>
    </row>
    <row r="493">
      <c r="A493" s="47" t="n"/>
      <c r="B493" s="48" t="n"/>
      <c r="C493" s="48" t="n"/>
      <c r="D493" s="48" t="n"/>
      <c r="E493" s="73" t="n"/>
      <c r="F493" s="48" t="n"/>
      <c r="G493" s="48" t="n"/>
      <c r="H493" s="48" t="n"/>
      <c r="I493" s="48" t="n"/>
      <c r="J493" s="12">
        <f>IF(A493="","",TEXT(A493,"MMMM YYYY"))</f>
        <v/>
      </c>
      <c r="K493" s="12">
        <f>IF(A493="","",WEEKNUM(A493))</f>
        <v/>
      </c>
      <c r="L493" s="12">
        <f>IF(A493="","",MONTH(A493))</f>
        <v/>
      </c>
      <c r="M493" s="12">
        <f>IF(A493="","",YEAR(A493))</f>
        <v/>
      </c>
    </row>
    <row r="494">
      <c r="A494" s="43" t="n"/>
      <c r="B494" s="44" t="n"/>
      <c r="C494" s="44" t="n"/>
      <c r="D494" s="44" t="n"/>
      <c r="E494" s="72" t="n"/>
      <c r="F494" s="44" t="n"/>
      <c r="G494" s="44" t="n"/>
      <c r="H494" s="44" t="n"/>
      <c r="I494" s="44" t="n"/>
      <c r="J494" s="9">
        <f>IF(A494="","",TEXT(A494,"MMMM YYYY"))</f>
        <v/>
      </c>
      <c r="K494" s="9">
        <f>IF(A494="","",WEEKNUM(A494))</f>
        <v/>
      </c>
      <c r="L494" s="9">
        <f>IF(A494="","",MONTH(A494))</f>
        <v/>
      </c>
      <c r="M494" s="9">
        <f>IF(A494="","",YEAR(A494))</f>
        <v/>
      </c>
    </row>
    <row r="495">
      <c r="A495" s="47" t="n"/>
      <c r="B495" s="48" t="n"/>
      <c r="C495" s="48" t="n"/>
      <c r="D495" s="48" t="n"/>
      <c r="E495" s="73" t="n"/>
      <c r="F495" s="48" t="n"/>
      <c r="G495" s="48" t="n"/>
      <c r="H495" s="48" t="n"/>
      <c r="I495" s="48" t="n"/>
      <c r="J495" s="12">
        <f>IF(A495="","",TEXT(A495,"MMMM YYYY"))</f>
        <v/>
      </c>
      <c r="K495" s="12">
        <f>IF(A495="","",WEEKNUM(A495))</f>
        <v/>
      </c>
      <c r="L495" s="12">
        <f>IF(A495="","",MONTH(A495))</f>
        <v/>
      </c>
      <c r="M495" s="12">
        <f>IF(A495="","",YEAR(A495))</f>
        <v/>
      </c>
    </row>
    <row r="496">
      <c r="A496" s="43" t="n"/>
      <c r="B496" s="44" t="n"/>
      <c r="C496" s="44" t="n"/>
      <c r="D496" s="44" t="n"/>
      <c r="E496" s="72" t="n"/>
      <c r="F496" s="44" t="n"/>
      <c r="G496" s="44" t="n"/>
      <c r="H496" s="44" t="n"/>
      <c r="I496" s="44" t="n"/>
      <c r="J496" s="9">
        <f>IF(A496="","",TEXT(A496,"MMMM YYYY"))</f>
        <v/>
      </c>
      <c r="K496" s="9">
        <f>IF(A496="","",WEEKNUM(A496))</f>
        <v/>
      </c>
      <c r="L496" s="9">
        <f>IF(A496="","",MONTH(A496))</f>
        <v/>
      </c>
      <c r="M496" s="9">
        <f>IF(A496="","",YEAR(A496))</f>
        <v/>
      </c>
    </row>
    <row r="497">
      <c r="A497" s="47" t="n"/>
      <c r="B497" s="48" t="n"/>
      <c r="C497" s="48" t="n"/>
      <c r="D497" s="48" t="n"/>
      <c r="E497" s="73" t="n"/>
      <c r="F497" s="48" t="n"/>
      <c r="G497" s="48" t="n"/>
      <c r="H497" s="48" t="n"/>
      <c r="I497" s="48" t="n"/>
      <c r="J497" s="12">
        <f>IF(A497="","",TEXT(A497,"MMMM YYYY"))</f>
        <v/>
      </c>
      <c r="K497" s="12">
        <f>IF(A497="","",WEEKNUM(A497))</f>
        <v/>
      </c>
      <c r="L497" s="12">
        <f>IF(A497="","",MONTH(A497))</f>
        <v/>
      </c>
      <c r="M497" s="12">
        <f>IF(A497="","",YEAR(A497))</f>
        <v/>
      </c>
    </row>
    <row r="498">
      <c r="A498" s="43" t="n"/>
      <c r="B498" s="44" t="n"/>
      <c r="C498" s="44" t="n"/>
      <c r="D498" s="44" t="n"/>
      <c r="E498" s="72" t="n"/>
      <c r="F498" s="44" t="n"/>
      <c r="G498" s="44" t="n"/>
      <c r="H498" s="44" t="n"/>
      <c r="I498" s="44" t="n"/>
      <c r="J498" s="9">
        <f>IF(A498="","",TEXT(A498,"MMMM YYYY"))</f>
        <v/>
      </c>
      <c r="K498" s="9">
        <f>IF(A498="","",WEEKNUM(A498))</f>
        <v/>
      </c>
      <c r="L498" s="9">
        <f>IF(A498="","",MONTH(A498))</f>
        <v/>
      </c>
      <c r="M498" s="9">
        <f>IF(A498="","",YEAR(A498))</f>
        <v/>
      </c>
    </row>
    <row r="499">
      <c r="A499" s="47" t="n"/>
      <c r="B499" s="48" t="n"/>
      <c r="C499" s="48" t="n"/>
      <c r="D499" s="48" t="n"/>
      <c r="E499" s="73" t="n"/>
      <c r="F499" s="48" t="n"/>
      <c r="G499" s="48" t="n"/>
      <c r="H499" s="48" t="n"/>
      <c r="I499" s="48" t="n"/>
      <c r="J499" s="12">
        <f>IF(A499="","",TEXT(A499,"MMMM YYYY"))</f>
        <v/>
      </c>
      <c r="K499" s="12">
        <f>IF(A499="","",WEEKNUM(A499))</f>
        <v/>
      </c>
      <c r="L499" s="12">
        <f>IF(A499="","",MONTH(A499))</f>
        <v/>
      </c>
      <c r="M499" s="12">
        <f>IF(A499="","",YEAR(A499))</f>
        <v/>
      </c>
    </row>
    <row r="500">
      <c r="A500" s="43" t="n"/>
      <c r="B500" s="44" t="n"/>
      <c r="C500" s="44" t="n"/>
      <c r="D500" s="44" t="n"/>
      <c r="E500" s="72" t="n"/>
      <c r="F500" s="44" t="n"/>
      <c r="G500" s="44" t="n"/>
      <c r="H500" s="44" t="n"/>
      <c r="I500" s="44" t="n"/>
      <c r="J500" s="9">
        <f>IF(A500="","",TEXT(A500,"MMMM YYYY"))</f>
        <v/>
      </c>
      <c r="K500" s="9">
        <f>IF(A500="","",WEEKNUM(A500))</f>
        <v/>
      </c>
      <c r="L500" s="9">
        <f>IF(A500="","",MONTH(A500))</f>
        <v/>
      </c>
      <c r="M500" s="9">
        <f>IF(A500="","",YEAR(A500))</f>
        <v/>
      </c>
    </row>
    <row r="501">
      <c r="A501" s="47" t="n"/>
      <c r="B501" s="48" t="n"/>
      <c r="C501" s="48" t="n"/>
      <c r="D501" s="48" t="n"/>
      <c r="E501" s="73" t="n"/>
      <c r="F501" s="48" t="n"/>
      <c r="G501" s="48" t="n"/>
      <c r="H501" s="48" t="n"/>
      <c r="I501" s="48" t="n"/>
      <c r="J501" s="12">
        <f>IF(A501="","",TEXT(A501,"MMMM YYYY"))</f>
        <v/>
      </c>
      <c r="K501" s="12">
        <f>IF(A501="","",WEEKNUM(A501))</f>
        <v/>
      </c>
      <c r="L501" s="12">
        <f>IF(A501="","",MONTH(A501))</f>
        <v/>
      </c>
      <c r="M501" s="12">
        <f>IF(A501="","",YEAR(A501))</f>
        <v/>
      </c>
    </row>
    <row r="502">
      <c r="A502" s="43" t="n"/>
      <c r="B502" s="44" t="n"/>
      <c r="C502" s="44" t="n"/>
      <c r="D502" s="44" t="n"/>
      <c r="E502" s="72" t="n"/>
      <c r="F502" s="44" t="n"/>
      <c r="G502" s="44" t="n"/>
      <c r="H502" s="44" t="n"/>
      <c r="I502" s="44" t="n"/>
      <c r="J502" s="9">
        <f>IF(A502="","",TEXT(A502,"MMMM YYYY"))</f>
        <v/>
      </c>
      <c r="K502" s="9">
        <f>IF(A502="","",WEEKNUM(A502))</f>
        <v/>
      </c>
      <c r="L502" s="9">
        <f>IF(A502="","",MONTH(A502))</f>
        <v/>
      </c>
      <c r="M502" s="9">
        <f>IF(A502="","",YEAR(A502))</f>
        <v/>
      </c>
    </row>
    <row r="503">
      <c r="A503" s="47" t="n"/>
      <c r="B503" s="48" t="n"/>
      <c r="C503" s="48" t="n"/>
      <c r="D503" s="48" t="n"/>
      <c r="E503" s="73" t="n"/>
      <c r="F503" s="48" t="n"/>
      <c r="G503" s="48" t="n"/>
      <c r="H503" s="48" t="n"/>
      <c r="I503" s="48" t="n"/>
      <c r="J503" s="12">
        <f>IF(A503="","",TEXT(A503,"MMMM YYYY"))</f>
        <v/>
      </c>
      <c r="K503" s="12">
        <f>IF(A503="","",WEEKNUM(A503))</f>
        <v/>
      </c>
      <c r="L503" s="12">
        <f>IF(A503="","",MONTH(A503))</f>
        <v/>
      </c>
      <c r="M503" s="12">
        <f>IF(A503="","",YEAR(A503))</f>
        <v/>
      </c>
    </row>
    <row r="506">
      <c r="A506" s="4" t="inlineStr">
        <is>
          <t>📊 CATEGORY SUMMARY</t>
        </is>
      </c>
      <c r="G506" s="4" t="inlineStr">
        <is>
          <t>🏆 TOP 5 EXPENSES</t>
        </is>
      </c>
    </row>
    <row r="507">
      <c r="A507" s="1" t="inlineStr">
        <is>
          <t>Category</t>
        </is>
      </c>
      <c r="B507" s="1" t="inlineStr">
        <is>
          <t>Total Spent</t>
        </is>
      </c>
      <c r="C507" s="1" t="inlineStr">
        <is>
          <t># Transactions</t>
        </is>
      </c>
      <c r="D507" s="1" t="inlineStr">
        <is>
          <t>Avg Transaction</t>
        </is>
      </c>
      <c r="E507" s="1" t="inlineStr">
        <is>
          <t>% of Total</t>
        </is>
      </c>
      <c r="G507" s="1" t="inlineStr">
        <is>
          <t>Rank</t>
        </is>
      </c>
      <c r="H507" s="1" t="inlineStr">
        <is>
          <t>Merchant</t>
        </is>
      </c>
      <c r="I507" s="1" t="inlineStr">
        <is>
          <t>Category</t>
        </is>
      </c>
      <c r="J507" s="1" t="inlineStr">
        <is>
          <t>Amount</t>
        </is>
      </c>
    </row>
    <row r="508">
      <c r="A508" s="9" t="inlineStr">
        <is>
          <t>Housing</t>
        </is>
      </c>
      <c r="B508" s="10">
        <f>SUMIF(C4:C503,A508,E4:E503)</f>
        <v/>
      </c>
      <c r="C508" s="9">
        <f>COUNTIF(C4:C503,A508)</f>
        <v/>
      </c>
      <c r="D508" s="10">
        <f>IFERROR(B508/C508,0)</f>
        <v/>
      </c>
      <c r="E508" s="46">
        <f>IFERROR(B508/SUM(E4:E503),0)</f>
        <v/>
      </c>
      <c r="G508" s="74" t="n">
        <v>1</v>
      </c>
      <c r="H508" s="9">
        <f>IFERROR(INDEX($B$4:$B$503,MATCH(J508,$E$4:$E$503,0)),"")</f>
        <v/>
      </c>
      <c r="I508" s="9">
        <f>IFERROR(INDEX($C$4:$C$503,MATCH(J508,$E$4:$E$503,0)),"")</f>
        <v/>
      </c>
      <c r="J508" s="10">
        <f>LARGE($E$4:$E$503,1)</f>
        <v/>
      </c>
    </row>
    <row r="509">
      <c r="A509" s="12" t="inlineStr">
        <is>
          <t>Food &amp; Dining</t>
        </is>
      </c>
      <c r="B509" s="13">
        <f>SUMIF(C4:C503,A509,E4:E503)</f>
        <v/>
      </c>
      <c r="C509" s="12">
        <f>COUNTIF(C4:C503,A509)</f>
        <v/>
      </c>
      <c r="D509" s="13">
        <f>IFERROR(B509/C509,0)</f>
        <v/>
      </c>
      <c r="E509" s="50">
        <f>IFERROR(B509/SUM(E4:E503),0)</f>
        <v/>
      </c>
      <c r="G509" s="75" t="n">
        <v>2</v>
      </c>
      <c r="H509" s="12">
        <f>IFERROR(INDEX($B$4:$B$503,MATCH(J509,$E$4:$E$503,0)),"")</f>
        <v/>
      </c>
      <c r="I509" s="12">
        <f>IFERROR(INDEX($C$4:$C$503,MATCH(J509,$E$4:$E$503,0)),"")</f>
        <v/>
      </c>
      <c r="J509" s="13">
        <f>LARGE($E$4:$E$503,2)</f>
        <v/>
      </c>
    </row>
    <row r="510">
      <c r="A510" s="9" t="inlineStr">
        <is>
          <t>Transportation</t>
        </is>
      </c>
      <c r="B510" s="10">
        <f>SUMIF(C4:C503,A510,E4:E503)</f>
        <v/>
      </c>
      <c r="C510" s="9">
        <f>COUNTIF(C4:C503,A510)</f>
        <v/>
      </c>
      <c r="D510" s="10">
        <f>IFERROR(B510/C510,0)</f>
        <v/>
      </c>
      <c r="E510" s="46">
        <f>IFERROR(B510/SUM(E4:E503),0)</f>
        <v/>
      </c>
      <c r="G510" s="74" t="n">
        <v>3</v>
      </c>
      <c r="H510" s="9">
        <f>IFERROR(INDEX($B$4:$B$503,MATCH(J510,$E$4:$E$503,0)),"")</f>
        <v/>
      </c>
      <c r="I510" s="9">
        <f>IFERROR(INDEX($C$4:$C$503,MATCH(J510,$E$4:$E$503,0)),"")</f>
        <v/>
      </c>
      <c r="J510" s="10">
        <f>LARGE($E$4:$E$503,3)</f>
        <v/>
      </c>
    </row>
    <row r="511">
      <c r="A511" s="12" t="inlineStr">
        <is>
          <t>Entertainment</t>
        </is>
      </c>
      <c r="B511" s="13">
        <f>SUMIF(C4:C503,A511,E4:E503)</f>
        <v/>
      </c>
      <c r="C511" s="12">
        <f>COUNTIF(C4:C503,A511)</f>
        <v/>
      </c>
      <c r="D511" s="13">
        <f>IFERROR(B511/C511,0)</f>
        <v/>
      </c>
      <c r="E511" s="50">
        <f>IFERROR(B511/SUM(E4:E503),0)</f>
        <v/>
      </c>
      <c r="G511" s="75" t="n">
        <v>4</v>
      </c>
      <c r="H511" s="12">
        <f>IFERROR(INDEX($B$4:$B$503,MATCH(J511,$E$4:$E$503,0)),"")</f>
        <v/>
      </c>
      <c r="I511" s="12">
        <f>IFERROR(INDEX($C$4:$C$503,MATCH(J511,$E$4:$E$503,0)),"")</f>
        <v/>
      </c>
      <c r="J511" s="13">
        <f>LARGE($E$4:$E$503,4)</f>
        <v/>
      </c>
    </row>
    <row r="512">
      <c r="A512" s="9" t="inlineStr">
        <is>
          <t>Shopping</t>
        </is>
      </c>
      <c r="B512" s="10">
        <f>SUMIF(C4:C503,A512,E4:E503)</f>
        <v/>
      </c>
      <c r="C512" s="9">
        <f>COUNTIF(C4:C503,A512)</f>
        <v/>
      </c>
      <c r="D512" s="10">
        <f>IFERROR(B512/C512,0)</f>
        <v/>
      </c>
      <c r="E512" s="46">
        <f>IFERROR(B512/SUM(E4:E503),0)</f>
        <v/>
      </c>
      <c r="G512" s="74" t="n">
        <v>5</v>
      </c>
      <c r="H512" s="9">
        <f>IFERROR(INDEX($B$4:$B$503,MATCH(J512,$E$4:$E$503,0)),"")</f>
        <v/>
      </c>
      <c r="I512" s="9">
        <f>IFERROR(INDEX($C$4:$C$503,MATCH(J512,$E$4:$E$503,0)),"")</f>
        <v/>
      </c>
      <c r="J512" s="10">
        <f>LARGE($E$4:$E$503,5)</f>
        <v/>
      </c>
    </row>
    <row r="513">
      <c r="A513" s="12" t="inlineStr">
        <is>
          <t>Healthcare</t>
        </is>
      </c>
      <c r="B513" s="13">
        <f>SUMIF(C4:C503,A513,E4:E503)</f>
        <v/>
      </c>
      <c r="C513" s="12">
        <f>COUNTIF(C4:C503,A513)</f>
        <v/>
      </c>
      <c r="D513" s="13">
        <f>IFERROR(B513/C513,0)</f>
        <v/>
      </c>
      <c r="E513" s="50">
        <f>IFERROR(B513/SUM(E4:E503),0)</f>
        <v/>
      </c>
    </row>
    <row r="514">
      <c r="A514" s="9" t="inlineStr">
        <is>
          <t>Utilities</t>
        </is>
      </c>
      <c r="B514" s="10">
        <f>SUMIF(C4:C503,A514,E4:E503)</f>
        <v/>
      </c>
      <c r="C514" s="9">
        <f>COUNTIF(C4:C503,A514)</f>
        <v/>
      </c>
      <c r="D514" s="10">
        <f>IFERROR(B514/C514,0)</f>
        <v/>
      </c>
      <c r="E514" s="46">
        <f>IFERROR(B514/SUM(E4:E503),0)</f>
        <v/>
      </c>
    </row>
    <row r="515">
      <c r="A515" s="12" t="inlineStr">
        <is>
          <t>Education</t>
        </is>
      </c>
      <c r="B515" s="13">
        <f>SUMIF(C4:C503,A515,E4:E503)</f>
        <v/>
      </c>
      <c r="C515" s="12">
        <f>COUNTIF(C4:C503,A515)</f>
        <v/>
      </c>
      <c r="D515" s="13">
        <f>IFERROR(B515/C515,0)</f>
        <v/>
      </c>
      <c r="E515" s="50">
        <f>IFERROR(B515/SUM(E4:E503),0)</f>
        <v/>
      </c>
    </row>
    <row r="516">
      <c r="A516" s="9" t="inlineStr">
        <is>
          <t>Personal Care</t>
        </is>
      </c>
      <c r="B516" s="10">
        <f>SUMIF(C4:C503,A516,E4:E503)</f>
        <v/>
      </c>
      <c r="C516" s="9">
        <f>COUNTIF(C4:C503,A516)</f>
        <v/>
      </c>
      <c r="D516" s="10">
        <f>IFERROR(B516/C516,0)</f>
        <v/>
      </c>
      <c r="E516" s="46">
        <f>IFERROR(B516/SUM(E4:E503),0)</f>
        <v/>
      </c>
    </row>
    <row r="517">
      <c r="A517" s="12" t="inlineStr">
        <is>
          <t>Savings</t>
        </is>
      </c>
      <c r="B517" s="13">
        <f>SUMIF(C4:C503,A517,E4:E503)</f>
        <v/>
      </c>
      <c r="C517" s="12">
        <f>COUNTIF(C4:C503,A517)</f>
        <v/>
      </c>
      <c r="D517" s="13">
        <f>IFERROR(B517/C517,0)</f>
        <v/>
      </c>
      <c r="E517" s="50">
        <f>IFERROR(B517/SUM(E4:E503),0)</f>
        <v/>
      </c>
    </row>
    <row r="518">
      <c r="A518" s="9" t="inlineStr">
        <is>
          <t>Investments</t>
        </is>
      </c>
      <c r="B518" s="10">
        <f>SUMIF(C4:C503,A518,E4:E503)</f>
        <v/>
      </c>
      <c r="C518" s="9">
        <f>COUNTIF(C4:C503,A518)</f>
        <v/>
      </c>
      <c r="D518" s="10">
        <f>IFERROR(B518/C518,0)</f>
        <v/>
      </c>
      <c r="E518" s="46">
        <f>IFERROR(B518/SUM(E4:E503),0)</f>
        <v/>
      </c>
    </row>
    <row r="519">
      <c r="A519" s="12" t="inlineStr">
        <is>
          <t>Debt Payment</t>
        </is>
      </c>
      <c r="B519" s="13">
        <f>SUMIF(C4:C503,A519,E4:E503)</f>
        <v/>
      </c>
      <c r="C519" s="12">
        <f>COUNTIF(C4:C503,A519)</f>
        <v/>
      </c>
      <c r="D519" s="13">
        <f>IFERROR(B519/C519,0)</f>
        <v/>
      </c>
      <c r="E519" s="50">
        <f>IFERROR(B519/SUM(E4:E503),0)</f>
        <v/>
      </c>
    </row>
    <row r="520">
      <c r="A520" s="9" t="inlineStr">
        <is>
          <t>Kids</t>
        </is>
      </c>
      <c r="B520" s="10">
        <f>SUMIF(C4:C503,A520,E4:E503)</f>
        <v/>
      </c>
      <c r="C520" s="9">
        <f>COUNTIF(C4:C503,A520)</f>
        <v/>
      </c>
      <c r="D520" s="10">
        <f>IFERROR(B520/C520,0)</f>
        <v/>
      </c>
      <c r="E520" s="46">
        <f>IFERROR(B520/SUM(E4:E503),0)</f>
        <v/>
      </c>
    </row>
    <row r="521">
      <c r="A521" s="12" t="inlineStr">
        <is>
          <t>Pets</t>
        </is>
      </c>
      <c r="B521" s="13">
        <f>SUMIF(C4:C503,A521,E4:E503)</f>
        <v/>
      </c>
      <c r="C521" s="12">
        <f>COUNTIF(C4:C503,A521)</f>
        <v/>
      </c>
      <c r="D521" s="13">
        <f>IFERROR(B521/C521,0)</f>
        <v/>
      </c>
      <c r="E521" s="50">
        <f>IFERROR(B521/SUM(E4:E503),0)</f>
        <v/>
      </c>
    </row>
    <row r="522">
      <c r="A522" s="9" t="inlineStr">
        <is>
          <t>Travel</t>
        </is>
      </c>
      <c r="B522" s="10">
        <f>SUMIF(C4:C503,A522,E4:E503)</f>
        <v/>
      </c>
      <c r="C522" s="9">
        <f>COUNTIF(C4:C503,A522)</f>
        <v/>
      </c>
      <c r="D522" s="10">
        <f>IFERROR(B522/C522,0)</f>
        <v/>
      </c>
      <c r="E522" s="46">
        <f>IFERROR(B522/SUM(E4:E503),0)</f>
        <v/>
      </c>
    </row>
    <row r="523">
      <c r="A523" s="12" t="inlineStr">
        <is>
          <t>Subscriptions</t>
        </is>
      </c>
      <c r="B523" s="13">
        <f>SUMIF(C4:C503,A523,E4:E503)</f>
        <v/>
      </c>
      <c r="C523" s="12">
        <f>COUNTIF(C4:C503,A523)</f>
        <v/>
      </c>
      <c r="D523" s="13">
        <f>IFERROR(B523/C523,0)</f>
        <v/>
      </c>
      <c r="E523" s="50">
        <f>IFERROR(B523/SUM(E4:E503),0)</f>
        <v/>
      </c>
    </row>
    <row r="524">
      <c r="A524" s="9" t="inlineStr">
        <is>
          <t>Insurance</t>
        </is>
      </c>
      <c r="B524" s="10">
        <f>SUMIF(C4:C503,A524,E4:E503)</f>
        <v/>
      </c>
      <c r="C524" s="9">
        <f>COUNTIF(C4:C503,A524)</f>
        <v/>
      </c>
      <c r="D524" s="10">
        <f>IFERROR(B524/C524,0)</f>
        <v/>
      </c>
      <c r="E524" s="46">
        <f>IFERROR(B524/SUM(E4:E503),0)</f>
        <v/>
      </c>
    </row>
    <row r="525">
      <c r="A525" s="12" t="inlineStr">
        <is>
          <t>Other</t>
        </is>
      </c>
      <c r="B525" s="13">
        <f>SUMIF(C4:C503,A525,E4:E503)</f>
        <v/>
      </c>
      <c r="C525" s="12">
        <f>COUNTIF(C4:C503,A525)</f>
        <v/>
      </c>
      <c r="D525" s="13">
        <f>IFERROR(B525/C525,0)</f>
        <v/>
      </c>
      <c r="E525" s="50">
        <f>IFERROR(B525/SUM(E4:E503),0)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4">
    <mergeCell ref="G506:J506"/>
    <mergeCell ref="A506:E506"/>
    <mergeCell ref="K2:M2"/>
    <mergeCell ref="A1:M1"/>
  </mergeCells>
  <conditionalFormatting sqref="G4:G503">
    <cfRule type="cellIs" priority="1" operator="equal" dxfId="6">
      <formula>"Need"</formula>
    </cfRule>
    <cfRule type="cellIs" priority="2" operator="equal" dxfId="7">
      <formula>"Want"</formula>
    </cfRule>
    <cfRule type="cellIs" priority="3" operator="equal" dxfId="2">
      <formula>"Investment"</formula>
    </cfRule>
  </conditionalFormatting>
  <conditionalFormatting sqref="H4:H503">
    <cfRule type="cellIs" priority="4" operator="equal" dxfId="8">
      <formula>"Yes"</formula>
    </cfRule>
  </conditionalFormatting>
  <conditionalFormatting sqref="E4:E503">
    <cfRule type="top10" rank="10" priority="5" dxfId="4"/>
  </conditionalFormatting>
  <conditionalFormatting sqref="A4:I503">
    <cfRule type="expression" priority="6" dxfId="9">
      <formula>$E4&gt;200</formula>
    </cfRule>
  </conditionalFormatting>
  <dataValidations count="5">
    <dataValidation sqref="C4:C503" showDropDown="0" showInputMessage="0" showErrorMessage="0" allowBlank="1" type="list">
      <formula1>=CATEGORIES</formula1>
    </dataValidation>
    <dataValidation sqref="D4:D503" showDropDown="0" showInputMessage="0" showErrorMessage="0" allowBlank="1" type="list">
      <formula1>=SUBCATEGORIES</formula1>
    </dataValidation>
    <dataValidation sqref="F4:F503" showDropDown="0" showInputMessage="0" showErrorMessage="0" allowBlank="1" type="list">
      <formula1>=PAYMENT_METHODS</formula1>
    </dataValidation>
    <dataValidation sqref="G4:G503" showDropDown="0" showInputMessage="0" showErrorMessage="0" allowBlank="1" type="list">
      <formula1>=NEED_WANT</formula1>
    </dataValidation>
    <dataValidation sqref="H4:H503" showDropDown="0" showInputMessage="0" showErrorMessage="0" allowBlank="1" type="list">
      <formula1>=YES_NO</formula1>
    </dataValidation>
  </dataValidations>
  <pageMargins left="0.75" right="0.75" top="1" bottom="1" header="0.5" footer="0.5"/>
  <pageSetup orientation="landscape" fitToHeight="0" fitToWidth="1"/>
  <headerFooter>
    <oddHeader>&amp;CUltimate Budget Planner | Expense Tracker | Page &amp;P</oddHeader>
    <oddFooter>&amp;CGenerated with Budget Planner Pro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F4A261"/>
    <outlinePr summaryBelow="1" summaryRight="1"/>
  </sheetPr>
  <dimension ref="A1:K1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4" customWidth="1" min="4" max="4"/>
    <col width="11" customWidth="1" min="5" max="5"/>
    <col width="13" customWidth="1" min="6" max="6"/>
    <col width="14" customWidth="1" min="7" max="7"/>
    <col width="16" customWidth="1" min="8" max="8"/>
    <col width="14" customWidth="1" min="9" max="9"/>
    <col hidden="1" width="9" customWidth="1" min="10" max="10"/>
    <col hidden="1" width="8" customWidth="1" min="11" max="11"/>
  </cols>
  <sheetData>
    <row r="1" ht="40" customHeight="1">
      <c r="A1" s="2" t="inlineStr">
        <is>
          <t>💰 INCOME TRACKER</t>
        </is>
      </c>
    </row>
    <row r="2" ht="28" customHeight="1">
      <c r="A2" s="40" t="inlineStr">
        <is>
          <t>Total Gross</t>
        </is>
      </c>
      <c r="B2" s="41">
        <f>SUM(D4:D103)</f>
        <v/>
      </c>
      <c r="C2" s="40" t="inlineStr">
        <is>
          <t>Tax Reserved</t>
        </is>
      </c>
      <c r="D2" s="41">
        <f>SUM(F4:F103)</f>
        <v/>
      </c>
      <c r="E2" s="40" t="inlineStr">
        <is>
          <t>Total Net</t>
        </is>
      </c>
      <c r="F2" s="41">
        <f>SUM(G4:G103)</f>
        <v/>
      </c>
      <c r="G2" s="40" t="inlineStr">
        <is>
          <t>Avg per Entry</t>
        </is>
      </c>
      <c r="H2" s="41">
        <f>IFERROR(AVERAGE(D4:D103),0)</f>
        <v/>
      </c>
      <c r="I2" s="71" t="n"/>
    </row>
    <row r="3" ht="28" customHeight="1">
      <c r="A3" s="1" t="inlineStr">
        <is>
          <t>Date</t>
        </is>
      </c>
      <c r="B3" s="1" t="inlineStr">
        <is>
          <t>Source</t>
        </is>
      </c>
      <c r="C3" s="1" t="inlineStr">
        <is>
          <t>Description</t>
        </is>
      </c>
      <c r="D3" s="1" t="inlineStr">
        <is>
          <t>Amount</t>
        </is>
      </c>
      <c r="E3" s="1" t="inlineStr">
        <is>
          <t>Tax Rate %</t>
        </is>
      </c>
      <c r="F3" s="1" t="inlineStr">
        <is>
          <t>Tax Reserve</t>
        </is>
      </c>
      <c r="G3" s="1" t="inlineStr">
        <is>
          <t>Net After Tax</t>
        </is>
      </c>
      <c r="H3" s="1" t="inlineStr">
        <is>
          <t>Month</t>
        </is>
      </c>
      <c r="I3" s="1" t="inlineStr">
        <is>
          <t>Category Type</t>
        </is>
      </c>
      <c r="J3" s="1" t="inlineStr">
        <is>
          <t>Month#</t>
        </is>
      </c>
      <c r="K3" s="1" t="inlineStr">
        <is>
          <t>Year</t>
        </is>
      </c>
    </row>
    <row r="4">
      <c r="A4" s="43" t="n">
        <v>46023</v>
      </c>
      <c r="B4" s="44" t="inlineStr">
        <is>
          <t>Salary</t>
        </is>
      </c>
      <c r="C4" s="44" t="inlineStr">
        <is>
          <t>Biweekly paycheck</t>
        </is>
      </c>
      <c r="D4" s="45" t="n">
        <v>2750</v>
      </c>
      <c r="E4" s="60" t="n">
        <v>0.22</v>
      </c>
      <c r="F4" s="10">
        <f>D4*E4</f>
        <v/>
      </c>
      <c r="G4" s="10">
        <f>D4-F4</f>
        <v/>
      </c>
      <c r="H4" s="9">
        <f>IF(A4="","",TEXT(A4,"MMMM YYYY"))</f>
        <v/>
      </c>
      <c r="I4" s="44" t="inlineStr">
        <is>
          <t>Active</t>
        </is>
      </c>
      <c r="J4" s="9">
        <f>IF(A4="","",MONTH(A4))</f>
        <v/>
      </c>
      <c r="K4" s="9">
        <f>IF(A4="","",YEAR(A4))</f>
        <v/>
      </c>
    </row>
    <row r="5">
      <c r="A5" s="47" t="n">
        <v>46037</v>
      </c>
      <c r="B5" s="48" t="inlineStr">
        <is>
          <t>Salary</t>
        </is>
      </c>
      <c r="C5" s="48" t="inlineStr">
        <is>
          <t>Biweekly paycheck</t>
        </is>
      </c>
      <c r="D5" s="49" t="n">
        <v>2750</v>
      </c>
      <c r="E5" s="61" t="n">
        <v>0.22</v>
      </c>
      <c r="F5" s="13">
        <f>D5*E5</f>
        <v/>
      </c>
      <c r="G5" s="13">
        <f>D5-F5</f>
        <v/>
      </c>
      <c r="H5" s="12">
        <f>IF(A5="","",TEXT(A5,"MMMM YYYY"))</f>
        <v/>
      </c>
      <c r="I5" s="48" t="inlineStr">
        <is>
          <t>Active</t>
        </is>
      </c>
      <c r="J5" s="12">
        <f>IF(A5="","",MONTH(A5))</f>
        <v/>
      </c>
      <c r="K5" s="12">
        <f>IF(A5="","",YEAR(A5))</f>
        <v/>
      </c>
    </row>
    <row r="6">
      <c r="A6" s="43" t="n">
        <v>46054</v>
      </c>
      <c r="B6" s="44" t="inlineStr">
        <is>
          <t>Salary</t>
        </is>
      </c>
      <c r="C6" s="44" t="inlineStr">
        <is>
          <t>Biweekly paycheck</t>
        </is>
      </c>
      <c r="D6" s="45" t="n">
        <v>2750</v>
      </c>
      <c r="E6" s="60" t="n">
        <v>0.22</v>
      </c>
      <c r="F6" s="10">
        <f>D6*E6</f>
        <v/>
      </c>
      <c r="G6" s="10">
        <f>D6-F6</f>
        <v/>
      </c>
      <c r="H6" s="9">
        <f>IF(A6="","",TEXT(A6,"MMMM YYYY"))</f>
        <v/>
      </c>
      <c r="I6" s="44" t="inlineStr">
        <is>
          <t>Active</t>
        </is>
      </c>
      <c r="J6" s="9">
        <f>IF(A6="","",MONTH(A6))</f>
        <v/>
      </c>
      <c r="K6" s="9">
        <f>IF(A6="","",YEAR(A6))</f>
        <v/>
      </c>
    </row>
    <row r="7">
      <c r="A7" s="47" t="n">
        <v>46068</v>
      </c>
      <c r="B7" s="48" t="inlineStr">
        <is>
          <t>Salary</t>
        </is>
      </c>
      <c r="C7" s="48" t="inlineStr">
        <is>
          <t>Biweekly paycheck</t>
        </is>
      </c>
      <c r="D7" s="49" t="n">
        <v>2750</v>
      </c>
      <c r="E7" s="61" t="n">
        <v>0.22</v>
      </c>
      <c r="F7" s="13">
        <f>D7*E7</f>
        <v/>
      </c>
      <c r="G7" s="13">
        <f>D7-F7</f>
        <v/>
      </c>
      <c r="H7" s="12">
        <f>IF(A7="","",TEXT(A7,"MMMM YYYY"))</f>
        <v/>
      </c>
      <c r="I7" s="48" t="inlineStr">
        <is>
          <t>Active</t>
        </is>
      </c>
      <c r="J7" s="12">
        <f>IF(A7="","",MONTH(A7))</f>
        <v/>
      </c>
      <c r="K7" s="12">
        <f>IF(A7="","",YEAR(A7))</f>
        <v/>
      </c>
    </row>
    <row r="8">
      <c r="A8" s="43" t="n">
        <v>46082</v>
      </c>
      <c r="B8" s="44" t="inlineStr">
        <is>
          <t>Salary</t>
        </is>
      </c>
      <c r="C8" s="44" t="inlineStr">
        <is>
          <t>Biweekly paycheck</t>
        </is>
      </c>
      <c r="D8" s="45" t="n">
        <v>2750</v>
      </c>
      <c r="E8" s="60" t="n">
        <v>0.22</v>
      </c>
      <c r="F8" s="10">
        <f>D8*E8</f>
        <v/>
      </c>
      <c r="G8" s="10">
        <f>D8-F8</f>
        <v/>
      </c>
      <c r="H8" s="9">
        <f>IF(A8="","",TEXT(A8,"MMMM YYYY"))</f>
        <v/>
      </c>
      <c r="I8" s="44" t="inlineStr">
        <is>
          <t>Active</t>
        </is>
      </c>
      <c r="J8" s="9">
        <f>IF(A8="","",MONTH(A8))</f>
        <v/>
      </c>
      <c r="K8" s="9">
        <f>IF(A8="","",YEAR(A8))</f>
        <v/>
      </c>
    </row>
    <row r="9">
      <c r="A9" s="47" t="n">
        <v>46096</v>
      </c>
      <c r="B9" s="48" t="inlineStr">
        <is>
          <t>Salary</t>
        </is>
      </c>
      <c r="C9" s="48" t="inlineStr">
        <is>
          <t>Biweekly paycheck</t>
        </is>
      </c>
      <c r="D9" s="49" t="n">
        <v>2750</v>
      </c>
      <c r="E9" s="61" t="n">
        <v>0.22</v>
      </c>
      <c r="F9" s="13">
        <f>D9*E9</f>
        <v/>
      </c>
      <c r="G9" s="13">
        <f>D9-F9</f>
        <v/>
      </c>
      <c r="H9" s="12">
        <f>IF(A9="","",TEXT(A9,"MMMM YYYY"))</f>
        <v/>
      </c>
      <c r="I9" s="48" t="inlineStr">
        <is>
          <t>Active</t>
        </is>
      </c>
      <c r="J9" s="12">
        <f>IF(A9="","",MONTH(A9))</f>
        <v/>
      </c>
      <c r="K9" s="12">
        <f>IF(A9="","",YEAR(A9))</f>
        <v/>
      </c>
    </row>
    <row r="10">
      <c r="A10" s="43" t="n">
        <v>46113</v>
      </c>
      <c r="B10" s="44" t="inlineStr">
        <is>
          <t>Salary</t>
        </is>
      </c>
      <c r="C10" s="44" t="inlineStr">
        <is>
          <t>Biweekly paycheck</t>
        </is>
      </c>
      <c r="D10" s="45" t="n">
        <v>2750</v>
      </c>
      <c r="E10" s="60" t="n">
        <v>0.22</v>
      </c>
      <c r="F10" s="10">
        <f>D10*E10</f>
        <v/>
      </c>
      <c r="G10" s="10">
        <f>D10-F10</f>
        <v/>
      </c>
      <c r="H10" s="9">
        <f>IF(A10="","",TEXT(A10,"MMMM YYYY"))</f>
        <v/>
      </c>
      <c r="I10" s="44" t="inlineStr">
        <is>
          <t>Active</t>
        </is>
      </c>
      <c r="J10" s="9">
        <f>IF(A10="","",MONTH(A10))</f>
        <v/>
      </c>
      <c r="K10" s="9">
        <f>IF(A10="","",YEAR(A10))</f>
        <v/>
      </c>
    </row>
    <row r="11">
      <c r="A11" s="47" t="n">
        <v>46127</v>
      </c>
      <c r="B11" s="48" t="inlineStr">
        <is>
          <t>Salary</t>
        </is>
      </c>
      <c r="C11" s="48" t="inlineStr">
        <is>
          <t>Biweekly paycheck</t>
        </is>
      </c>
      <c r="D11" s="49" t="n">
        <v>2750</v>
      </c>
      <c r="E11" s="61" t="n">
        <v>0.22</v>
      </c>
      <c r="F11" s="13">
        <f>D11*E11</f>
        <v/>
      </c>
      <c r="G11" s="13">
        <f>D11-F11</f>
        <v/>
      </c>
      <c r="H11" s="12">
        <f>IF(A11="","",TEXT(A11,"MMMM YYYY"))</f>
        <v/>
      </c>
      <c r="I11" s="48" t="inlineStr">
        <is>
          <t>Active</t>
        </is>
      </c>
      <c r="J11" s="12">
        <f>IF(A11="","",MONTH(A11))</f>
        <v/>
      </c>
      <c r="K11" s="12">
        <f>IF(A11="","",YEAR(A11))</f>
        <v/>
      </c>
    </row>
    <row r="12">
      <c r="A12" s="43" t="n">
        <v>46143</v>
      </c>
      <c r="B12" s="44" t="inlineStr">
        <is>
          <t>Salary</t>
        </is>
      </c>
      <c r="C12" s="44" t="inlineStr">
        <is>
          <t>Biweekly paycheck</t>
        </is>
      </c>
      <c r="D12" s="45" t="n">
        <v>2750</v>
      </c>
      <c r="E12" s="60" t="n">
        <v>0.22</v>
      </c>
      <c r="F12" s="10">
        <f>D12*E12</f>
        <v/>
      </c>
      <c r="G12" s="10">
        <f>D12-F12</f>
        <v/>
      </c>
      <c r="H12" s="9">
        <f>IF(A12="","",TEXT(A12,"MMMM YYYY"))</f>
        <v/>
      </c>
      <c r="I12" s="44" t="inlineStr">
        <is>
          <t>Active</t>
        </is>
      </c>
      <c r="J12" s="9">
        <f>IF(A12="","",MONTH(A12))</f>
        <v/>
      </c>
      <c r="K12" s="9">
        <f>IF(A12="","",YEAR(A12))</f>
        <v/>
      </c>
    </row>
    <row r="13">
      <c r="A13" s="47" t="n">
        <v>46157</v>
      </c>
      <c r="B13" s="48" t="inlineStr">
        <is>
          <t>Salary</t>
        </is>
      </c>
      <c r="C13" s="48" t="inlineStr">
        <is>
          <t>Biweekly paycheck</t>
        </is>
      </c>
      <c r="D13" s="49" t="n">
        <v>2750</v>
      </c>
      <c r="E13" s="61" t="n">
        <v>0.22</v>
      </c>
      <c r="F13" s="13">
        <f>D13*E13</f>
        <v/>
      </c>
      <c r="G13" s="13">
        <f>D13-F13</f>
        <v/>
      </c>
      <c r="H13" s="12">
        <f>IF(A13="","",TEXT(A13,"MMMM YYYY"))</f>
        <v/>
      </c>
      <c r="I13" s="48" t="inlineStr">
        <is>
          <t>Active</t>
        </is>
      </c>
      <c r="J13" s="12">
        <f>IF(A13="","",MONTH(A13))</f>
        <v/>
      </c>
      <c r="K13" s="12">
        <f>IF(A13="","",YEAR(A13))</f>
        <v/>
      </c>
    </row>
    <row r="14">
      <c r="A14" s="43" t="n">
        <v>46174</v>
      </c>
      <c r="B14" s="44" t="inlineStr">
        <is>
          <t>Salary</t>
        </is>
      </c>
      <c r="C14" s="44" t="inlineStr">
        <is>
          <t>Biweekly paycheck</t>
        </is>
      </c>
      <c r="D14" s="45" t="n">
        <v>2750</v>
      </c>
      <c r="E14" s="60" t="n">
        <v>0.22</v>
      </c>
      <c r="F14" s="10">
        <f>D14*E14</f>
        <v/>
      </c>
      <c r="G14" s="10">
        <f>D14-F14</f>
        <v/>
      </c>
      <c r="H14" s="9">
        <f>IF(A14="","",TEXT(A14,"MMMM YYYY"))</f>
        <v/>
      </c>
      <c r="I14" s="44" t="inlineStr">
        <is>
          <t>Active</t>
        </is>
      </c>
      <c r="J14" s="9">
        <f>IF(A14="","",MONTH(A14))</f>
        <v/>
      </c>
      <c r="K14" s="9">
        <f>IF(A14="","",YEAR(A14))</f>
        <v/>
      </c>
    </row>
    <row r="15">
      <c r="A15" s="47" t="n">
        <v>46188</v>
      </c>
      <c r="B15" s="48" t="inlineStr">
        <is>
          <t>Salary</t>
        </is>
      </c>
      <c r="C15" s="48" t="inlineStr">
        <is>
          <t>Biweekly paycheck</t>
        </is>
      </c>
      <c r="D15" s="49" t="n">
        <v>2750</v>
      </c>
      <c r="E15" s="61" t="n">
        <v>0.22</v>
      </c>
      <c r="F15" s="13">
        <f>D15*E15</f>
        <v/>
      </c>
      <c r="G15" s="13">
        <f>D15-F15</f>
        <v/>
      </c>
      <c r="H15" s="12">
        <f>IF(A15="","",TEXT(A15,"MMMM YYYY"))</f>
        <v/>
      </c>
      <c r="I15" s="48" t="inlineStr">
        <is>
          <t>Active</t>
        </is>
      </c>
      <c r="J15" s="12">
        <f>IF(A15="","",MONTH(A15))</f>
        <v/>
      </c>
      <c r="K15" s="12">
        <f>IF(A15="","",YEAR(A15))</f>
        <v/>
      </c>
    </row>
    <row r="16">
      <c r="A16" s="43" t="n">
        <v>46073</v>
      </c>
      <c r="B16" s="44" t="inlineStr">
        <is>
          <t>Freelance/Contract</t>
        </is>
      </c>
      <c r="C16" s="44" t="inlineStr">
        <is>
          <t>Web design project</t>
        </is>
      </c>
      <c r="D16" s="45" t="n">
        <v>600</v>
      </c>
      <c r="E16" s="60" t="n">
        <v>0.25</v>
      </c>
      <c r="F16" s="10">
        <f>D16*E16</f>
        <v/>
      </c>
      <c r="G16" s="10">
        <f>D16-F16</f>
        <v/>
      </c>
      <c r="H16" s="9">
        <f>IF(A16="","",TEXT(A16,"MMMM YYYY"))</f>
        <v/>
      </c>
      <c r="I16" s="44" t="inlineStr">
        <is>
          <t>Active</t>
        </is>
      </c>
      <c r="J16" s="9">
        <f>IF(A16="","",MONTH(A16))</f>
        <v/>
      </c>
      <c r="K16" s="9">
        <f>IF(A16="","",YEAR(A16))</f>
        <v/>
      </c>
    </row>
    <row r="17">
      <c r="A17" s="47" t="n">
        <v>46137</v>
      </c>
      <c r="B17" s="48" t="inlineStr">
        <is>
          <t>Dividends</t>
        </is>
      </c>
      <c r="C17" s="48" t="inlineStr">
        <is>
          <t>Investment dividend payout</t>
        </is>
      </c>
      <c r="D17" s="49" t="n">
        <v>45</v>
      </c>
      <c r="E17" s="61" t="n">
        <v>0.15</v>
      </c>
      <c r="F17" s="13">
        <f>D17*E17</f>
        <v/>
      </c>
      <c r="G17" s="13">
        <f>D17-F17</f>
        <v/>
      </c>
      <c r="H17" s="12">
        <f>IF(A17="","",TEXT(A17,"MMMM YYYY"))</f>
        <v/>
      </c>
      <c r="I17" s="48" t="inlineStr">
        <is>
          <t>Passive</t>
        </is>
      </c>
      <c r="J17" s="12">
        <f>IF(A17="","",MONTH(A17))</f>
        <v/>
      </c>
      <c r="K17" s="12">
        <f>IF(A17="","",YEAR(A17))</f>
        <v/>
      </c>
    </row>
    <row r="18">
      <c r="A18" s="43" t="n"/>
      <c r="B18" s="44" t="n"/>
      <c r="C18" s="44" t="n"/>
      <c r="D18" s="45" t="n"/>
      <c r="E18" s="60" t="n"/>
      <c r="F18" s="10">
        <f>D18*E18</f>
        <v/>
      </c>
      <c r="G18" s="10">
        <f>D18-F18</f>
        <v/>
      </c>
      <c r="H18" s="9">
        <f>IF(A18="","",TEXT(A18,"MMMM YYYY"))</f>
        <v/>
      </c>
      <c r="I18" s="44" t="n"/>
      <c r="J18" s="9">
        <f>IF(A18="","",MONTH(A18))</f>
        <v/>
      </c>
      <c r="K18" s="9">
        <f>IF(A18="","",YEAR(A18))</f>
        <v/>
      </c>
    </row>
    <row r="19">
      <c r="A19" s="47" t="n"/>
      <c r="B19" s="48" t="n"/>
      <c r="C19" s="48" t="n"/>
      <c r="D19" s="49" t="n"/>
      <c r="E19" s="61" t="n"/>
      <c r="F19" s="13">
        <f>D19*E19</f>
        <v/>
      </c>
      <c r="G19" s="13">
        <f>D19-F19</f>
        <v/>
      </c>
      <c r="H19" s="12">
        <f>IF(A19="","",TEXT(A19,"MMMM YYYY"))</f>
        <v/>
      </c>
      <c r="I19" s="48" t="n"/>
      <c r="J19" s="12">
        <f>IF(A19="","",MONTH(A19))</f>
        <v/>
      </c>
      <c r="K19" s="12">
        <f>IF(A19="","",YEAR(A19))</f>
        <v/>
      </c>
    </row>
    <row r="20">
      <c r="A20" s="43" t="n"/>
      <c r="B20" s="44" t="n"/>
      <c r="C20" s="44" t="n"/>
      <c r="D20" s="45" t="n"/>
      <c r="E20" s="60" t="n"/>
      <c r="F20" s="10">
        <f>D20*E20</f>
        <v/>
      </c>
      <c r="G20" s="10">
        <f>D20-F20</f>
        <v/>
      </c>
      <c r="H20" s="9">
        <f>IF(A20="","",TEXT(A20,"MMMM YYYY"))</f>
        <v/>
      </c>
      <c r="I20" s="44" t="n"/>
      <c r="J20" s="9">
        <f>IF(A20="","",MONTH(A20))</f>
        <v/>
      </c>
      <c r="K20" s="9">
        <f>IF(A20="","",YEAR(A20))</f>
        <v/>
      </c>
    </row>
    <row r="21">
      <c r="A21" s="47" t="n"/>
      <c r="B21" s="48" t="n"/>
      <c r="C21" s="48" t="n"/>
      <c r="D21" s="49" t="n"/>
      <c r="E21" s="61" t="n"/>
      <c r="F21" s="13">
        <f>D21*E21</f>
        <v/>
      </c>
      <c r="G21" s="13">
        <f>D21-F21</f>
        <v/>
      </c>
      <c r="H21" s="12">
        <f>IF(A21="","",TEXT(A21,"MMMM YYYY"))</f>
        <v/>
      </c>
      <c r="I21" s="48" t="n"/>
      <c r="J21" s="12">
        <f>IF(A21="","",MONTH(A21))</f>
        <v/>
      </c>
      <c r="K21" s="12">
        <f>IF(A21="","",YEAR(A21))</f>
        <v/>
      </c>
    </row>
    <row r="22">
      <c r="A22" s="43" t="n"/>
      <c r="B22" s="44" t="n"/>
      <c r="C22" s="44" t="n"/>
      <c r="D22" s="45" t="n"/>
      <c r="E22" s="60" t="n"/>
      <c r="F22" s="10">
        <f>D22*E22</f>
        <v/>
      </c>
      <c r="G22" s="10">
        <f>D22-F22</f>
        <v/>
      </c>
      <c r="H22" s="9">
        <f>IF(A22="","",TEXT(A22,"MMMM YYYY"))</f>
        <v/>
      </c>
      <c r="I22" s="44" t="n"/>
      <c r="J22" s="9">
        <f>IF(A22="","",MONTH(A22))</f>
        <v/>
      </c>
      <c r="K22" s="9">
        <f>IF(A22="","",YEAR(A22))</f>
        <v/>
      </c>
    </row>
    <row r="23">
      <c r="A23" s="47" t="n"/>
      <c r="B23" s="48" t="n"/>
      <c r="C23" s="48" t="n"/>
      <c r="D23" s="49" t="n"/>
      <c r="E23" s="61" t="n"/>
      <c r="F23" s="13">
        <f>D23*E23</f>
        <v/>
      </c>
      <c r="G23" s="13">
        <f>D23-F23</f>
        <v/>
      </c>
      <c r="H23" s="12">
        <f>IF(A23="","",TEXT(A23,"MMMM YYYY"))</f>
        <v/>
      </c>
      <c r="I23" s="48" t="n"/>
      <c r="J23" s="12">
        <f>IF(A23="","",MONTH(A23))</f>
        <v/>
      </c>
      <c r="K23" s="12">
        <f>IF(A23="","",YEAR(A23))</f>
        <v/>
      </c>
    </row>
    <row r="24">
      <c r="A24" s="43" t="n"/>
      <c r="B24" s="44" t="n"/>
      <c r="C24" s="44" t="n"/>
      <c r="D24" s="45" t="n"/>
      <c r="E24" s="60" t="n"/>
      <c r="F24" s="10">
        <f>D24*E24</f>
        <v/>
      </c>
      <c r="G24" s="10">
        <f>D24-F24</f>
        <v/>
      </c>
      <c r="H24" s="9">
        <f>IF(A24="","",TEXT(A24,"MMMM YYYY"))</f>
        <v/>
      </c>
      <c r="I24" s="44" t="n"/>
      <c r="J24" s="9">
        <f>IF(A24="","",MONTH(A24))</f>
        <v/>
      </c>
      <c r="K24" s="9">
        <f>IF(A24="","",YEAR(A24))</f>
        <v/>
      </c>
    </row>
    <row r="25">
      <c r="A25" s="47" t="n"/>
      <c r="B25" s="48" t="n"/>
      <c r="C25" s="48" t="n"/>
      <c r="D25" s="49" t="n"/>
      <c r="E25" s="61" t="n"/>
      <c r="F25" s="13">
        <f>D25*E25</f>
        <v/>
      </c>
      <c r="G25" s="13">
        <f>D25-F25</f>
        <v/>
      </c>
      <c r="H25" s="12">
        <f>IF(A25="","",TEXT(A25,"MMMM YYYY"))</f>
        <v/>
      </c>
      <c r="I25" s="48" t="n"/>
      <c r="J25" s="12">
        <f>IF(A25="","",MONTH(A25))</f>
        <v/>
      </c>
      <c r="K25" s="12">
        <f>IF(A25="","",YEAR(A25))</f>
        <v/>
      </c>
    </row>
    <row r="26">
      <c r="A26" s="43" t="n"/>
      <c r="B26" s="44" t="n"/>
      <c r="C26" s="44" t="n"/>
      <c r="D26" s="45" t="n"/>
      <c r="E26" s="60" t="n"/>
      <c r="F26" s="10">
        <f>D26*E26</f>
        <v/>
      </c>
      <c r="G26" s="10">
        <f>D26-F26</f>
        <v/>
      </c>
      <c r="H26" s="9">
        <f>IF(A26="","",TEXT(A26,"MMMM YYYY"))</f>
        <v/>
      </c>
      <c r="I26" s="44" t="n"/>
      <c r="J26" s="9">
        <f>IF(A26="","",MONTH(A26))</f>
        <v/>
      </c>
      <c r="K26" s="9">
        <f>IF(A26="","",YEAR(A26))</f>
        <v/>
      </c>
    </row>
    <row r="27">
      <c r="A27" s="47" t="n"/>
      <c r="B27" s="48" t="n"/>
      <c r="C27" s="48" t="n"/>
      <c r="D27" s="49" t="n"/>
      <c r="E27" s="61" t="n"/>
      <c r="F27" s="13">
        <f>D27*E27</f>
        <v/>
      </c>
      <c r="G27" s="13">
        <f>D27-F27</f>
        <v/>
      </c>
      <c r="H27" s="12">
        <f>IF(A27="","",TEXT(A27,"MMMM YYYY"))</f>
        <v/>
      </c>
      <c r="I27" s="48" t="n"/>
      <c r="J27" s="12">
        <f>IF(A27="","",MONTH(A27))</f>
        <v/>
      </c>
      <c r="K27" s="12">
        <f>IF(A27="","",YEAR(A27))</f>
        <v/>
      </c>
    </row>
    <row r="28">
      <c r="A28" s="43" t="n"/>
      <c r="B28" s="44" t="n"/>
      <c r="C28" s="44" t="n"/>
      <c r="D28" s="45" t="n"/>
      <c r="E28" s="60" t="n"/>
      <c r="F28" s="10">
        <f>D28*E28</f>
        <v/>
      </c>
      <c r="G28" s="10">
        <f>D28-F28</f>
        <v/>
      </c>
      <c r="H28" s="9">
        <f>IF(A28="","",TEXT(A28,"MMMM YYYY"))</f>
        <v/>
      </c>
      <c r="I28" s="44" t="n"/>
      <c r="J28" s="9">
        <f>IF(A28="","",MONTH(A28))</f>
        <v/>
      </c>
      <c r="K28" s="9">
        <f>IF(A28="","",YEAR(A28))</f>
        <v/>
      </c>
    </row>
    <row r="29">
      <c r="A29" s="47" t="n"/>
      <c r="B29" s="48" t="n"/>
      <c r="C29" s="48" t="n"/>
      <c r="D29" s="49" t="n"/>
      <c r="E29" s="61" t="n"/>
      <c r="F29" s="13">
        <f>D29*E29</f>
        <v/>
      </c>
      <c r="G29" s="13">
        <f>D29-F29</f>
        <v/>
      </c>
      <c r="H29" s="12">
        <f>IF(A29="","",TEXT(A29,"MMMM YYYY"))</f>
        <v/>
      </c>
      <c r="I29" s="48" t="n"/>
      <c r="J29" s="12">
        <f>IF(A29="","",MONTH(A29))</f>
        <v/>
      </c>
      <c r="K29" s="12">
        <f>IF(A29="","",YEAR(A29))</f>
        <v/>
      </c>
    </row>
    <row r="30">
      <c r="A30" s="43" t="n"/>
      <c r="B30" s="44" t="n"/>
      <c r="C30" s="44" t="n"/>
      <c r="D30" s="45" t="n"/>
      <c r="E30" s="60" t="n"/>
      <c r="F30" s="10">
        <f>D30*E30</f>
        <v/>
      </c>
      <c r="G30" s="10">
        <f>D30-F30</f>
        <v/>
      </c>
      <c r="H30" s="9">
        <f>IF(A30="","",TEXT(A30,"MMMM YYYY"))</f>
        <v/>
      </c>
      <c r="I30" s="44" t="n"/>
      <c r="J30" s="9">
        <f>IF(A30="","",MONTH(A30))</f>
        <v/>
      </c>
      <c r="K30" s="9">
        <f>IF(A30="","",YEAR(A30))</f>
        <v/>
      </c>
    </row>
    <row r="31">
      <c r="A31" s="47" t="n"/>
      <c r="B31" s="48" t="n"/>
      <c r="C31" s="48" t="n"/>
      <c r="D31" s="49" t="n"/>
      <c r="E31" s="61" t="n"/>
      <c r="F31" s="13">
        <f>D31*E31</f>
        <v/>
      </c>
      <c r="G31" s="13">
        <f>D31-F31</f>
        <v/>
      </c>
      <c r="H31" s="12">
        <f>IF(A31="","",TEXT(A31,"MMMM YYYY"))</f>
        <v/>
      </c>
      <c r="I31" s="48" t="n"/>
      <c r="J31" s="12">
        <f>IF(A31="","",MONTH(A31))</f>
        <v/>
      </c>
      <c r="K31" s="12">
        <f>IF(A31="","",YEAR(A31))</f>
        <v/>
      </c>
    </row>
    <row r="32">
      <c r="A32" s="43" t="n"/>
      <c r="B32" s="44" t="n"/>
      <c r="C32" s="44" t="n"/>
      <c r="D32" s="45" t="n"/>
      <c r="E32" s="60" t="n"/>
      <c r="F32" s="10">
        <f>D32*E32</f>
        <v/>
      </c>
      <c r="G32" s="10">
        <f>D32-F32</f>
        <v/>
      </c>
      <c r="H32" s="9">
        <f>IF(A32="","",TEXT(A32,"MMMM YYYY"))</f>
        <v/>
      </c>
      <c r="I32" s="44" t="n"/>
      <c r="J32" s="9">
        <f>IF(A32="","",MONTH(A32))</f>
        <v/>
      </c>
      <c r="K32" s="9">
        <f>IF(A32="","",YEAR(A32))</f>
        <v/>
      </c>
    </row>
    <row r="33">
      <c r="A33" s="47" t="n"/>
      <c r="B33" s="48" t="n"/>
      <c r="C33" s="48" t="n"/>
      <c r="D33" s="49" t="n"/>
      <c r="E33" s="61" t="n"/>
      <c r="F33" s="13">
        <f>D33*E33</f>
        <v/>
      </c>
      <c r="G33" s="13">
        <f>D33-F33</f>
        <v/>
      </c>
      <c r="H33" s="12">
        <f>IF(A33="","",TEXT(A33,"MMMM YYYY"))</f>
        <v/>
      </c>
      <c r="I33" s="48" t="n"/>
      <c r="J33" s="12">
        <f>IF(A33="","",MONTH(A33))</f>
        <v/>
      </c>
      <c r="K33" s="12">
        <f>IF(A33="","",YEAR(A33))</f>
        <v/>
      </c>
    </row>
    <row r="34">
      <c r="A34" s="43" t="n"/>
      <c r="B34" s="44" t="n"/>
      <c r="C34" s="44" t="n"/>
      <c r="D34" s="45" t="n"/>
      <c r="E34" s="60" t="n"/>
      <c r="F34" s="10">
        <f>D34*E34</f>
        <v/>
      </c>
      <c r="G34" s="10">
        <f>D34-F34</f>
        <v/>
      </c>
      <c r="H34" s="9">
        <f>IF(A34="","",TEXT(A34,"MMMM YYYY"))</f>
        <v/>
      </c>
      <c r="I34" s="44" t="n"/>
      <c r="J34" s="9">
        <f>IF(A34="","",MONTH(A34))</f>
        <v/>
      </c>
      <c r="K34" s="9">
        <f>IF(A34="","",YEAR(A34))</f>
        <v/>
      </c>
    </row>
    <row r="35">
      <c r="A35" s="47" t="n"/>
      <c r="B35" s="48" t="n"/>
      <c r="C35" s="48" t="n"/>
      <c r="D35" s="49" t="n"/>
      <c r="E35" s="61" t="n"/>
      <c r="F35" s="13">
        <f>D35*E35</f>
        <v/>
      </c>
      <c r="G35" s="13">
        <f>D35-F35</f>
        <v/>
      </c>
      <c r="H35" s="12">
        <f>IF(A35="","",TEXT(A35,"MMMM YYYY"))</f>
        <v/>
      </c>
      <c r="I35" s="48" t="n"/>
      <c r="J35" s="12">
        <f>IF(A35="","",MONTH(A35))</f>
        <v/>
      </c>
      <c r="K35" s="12">
        <f>IF(A35="","",YEAR(A35))</f>
        <v/>
      </c>
    </row>
    <row r="36">
      <c r="A36" s="43" t="n"/>
      <c r="B36" s="44" t="n"/>
      <c r="C36" s="44" t="n"/>
      <c r="D36" s="45" t="n"/>
      <c r="E36" s="60" t="n"/>
      <c r="F36" s="10">
        <f>D36*E36</f>
        <v/>
      </c>
      <c r="G36" s="10">
        <f>D36-F36</f>
        <v/>
      </c>
      <c r="H36" s="9">
        <f>IF(A36="","",TEXT(A36,"MMMM YYYY"))</f>
        <v/>
      </c>
      <c r="I36" s="44" t="n"/>
      <c r="J36" s="9">
        <f>IF(A36="","",MONTH(A36))</f>
        <v/>
      </c>
      <c r="K36" s="9">
        <f>IF(A36="","",YEAR(A36))</f>
        <v/>
      </c>
    </row>
    <row r="37">
      <c r="A37" s="47" t="n"/>
      <c r="B37" s="48" t="n"/>
      <c r="C37" s="48" t="n"/>
      <c r="D37" s="49" t="n"/>
      <c r="E37" s="61" t="n"/>
      <c r="F37" s="13">
        <f>D37*E37</f>
        <v/>
      </c>
      <c r="G37" s="13">
        <f>D37-F37</f>
        <v/>
      </c>
      <c r="H37" s="12">
        <f>IF(A37="","",TEXT(A37,"MMMM YYYY"))</f>
        <v/>
      </c>
      <c r="I37" s="48" t="n"/>
      <c r="J37" s="12">
        <f>IF(A37="","",MONTH(A37))</f>
        <v/>
      </c>
      <c r="K37" s="12">
        <f>IF(A37="","",YEAR(A37))</f>
        <v/>
      </c>
    </row>
    <row r="38">
      <c r="A38" s="43" t="n"/>
      <c r="B38" s="44" t="n"/>
      <c r="C38" s="44" t="n"/>
      <c r="D38" s="45" t="n"/>
      <c r="E38" s="60" t="n"/>
      <c r="F38" s="10">
        <f>D38*E38</f>
        <v/>
      </c>
      <c r="G38" s="10">
        <f>D38-F38</f>
        <v/>
      </c>
      <c r="H38" s="9">
        <f>IF(A38="","",TEXT(A38,"MMMM YYYY"))</f>
        <v/>
      </c>
      <c r="I38" s="44" t="n"/>
      <c r="J38" s="9">
        <f>IF(A38="","",MONTH(A38))</f>
        <v/>
      </c>
      <c r="K38" s="9">
        <f>IF(A38="","",YEAR(A38))</f>
        <v/>
      </c>
    </row>
    <row r="39">
      <c r="A39" s="47" t="n"/>
      <c r="B39" s="48" t="n"/>
      <c r="C39" s="48" t="n"/>
      <c r="D39" s="49" t="n"/>
      <c r="E39" s="61" t="n"/>
      <c r="F39" s="13">
        <f>D39*E39</f>
        <v/>
      </c>
      <c r="G39" s="13">
        <f>D39-F39</f>
        <v/>
      </c>
      <c r="H39" s="12">
        <f>IF(A39="","",TEXT(A39,"MMMM YYYY"))</f>
        <v/>
      </c>
      <c r="I39" s="48" t="n"/>
      <c r="J39" s="12">
        <f>IF(A39="","",MONTH(A39))</f>
        <v/>
      </c>
      <c r="K39" s="12">
        <f>IF(A39="","",YEAR(A39))</f>
        <v/>
      </c>
    </row>
    <row r="40">
      <c r="A40" s="43" t="n"/>
      <c r="B40" s="44" t="n"/>
      <c r="C40" s="44" t="n"/>
      <c r="D40" s="45" t="n"/>
      <c r="E40" s="60" t="n"/>
      <c r="F40" s="10">
        <f>D40*E40</f>
        <v/>
      </c>
      <c r="G40" s="10">
        <f>D40-F40</f>
        <v/>
      </c>
      <c r="H40" s="9">
        <f>IF(A40="","",TEXT(A40,"MMMM YYYY"))</f>
        <v/>
      </c>
      <c r="I40" s="44" t="n"/>
      <c r="J40" s="9">
        <f>IF(A40="","",MONTH(A40))</f>
        <v/>
      </c>
      <c r="K40" s="9">
        <f>IF(A40="","",YEAR(A40))</f>
        <v/>
      </c>
    </row>
    <row r="41">
      <c r="A41" s="47" t="n"/>
      <c r="B41" s="48" t="n"/>
      <c r="C41" s="48" t="n"/>
      <c r="D41" s="49" t="n"/>
      <c r="E41" s="61" t="n"/>
      <c r="F41" s="13">
        <f>D41*E41</f>
        <v/>
      </c>
      <c r="G41" s="13">
        <f>D41-F41</f>
        <v/>
      </c>
      <c r="H41" s="12">
        <f>IF(A41="","",TEXT(A41,"MMMM YYYY"))</f>
        <v/>
      </c>
      <c r="I41" s="48" t="n"/>
      <c r="J41" s="12">
        <f>IF(A41="","",MONTH(A41))</f>
        <v/>
      </c>
      <c r="K41" s="12">
        <f>IF(A41="","",YEAR(A41))</f>
        <v/>
      </c>
    </row>
    <row r="42">
      <c r="A42" s="43" t="n"/>
      <c r="B42" s="44" t="n"/>
      <c r="C42" s="44" t="n"/>
      <c r="D42" s="45" t="n"/>
      <c r="E42" s="60" t="n"/>
      <c r="F42" s="10">
        <f>D42*E42</f>
        <v/>
      </c>
      <c r="G42" s="10">
        <f>D42-F42</f>
        <v/>
      </c>
      <c r="H42" s="9">
        <f>IF(A42="","",TEXT(A42,"MMMM YYYY"))</f>
        <v/>
      </c>
      <c r="I42" s="44" t="n"/>
      <c r="J42" s="9">
        <f>IF(A42="","",MONTH(A42))</f>
        <v/>
      </c>
      <c r="K42" s="9">
        <f>IF(A42="","",YEAR(A42))</f>
        <v/>
      </c>
    </row>
    <row r="43">
      <c r="A43" s="47" t="n"/>
      <c r="B43" s="48" t="n"/>
      <c r="C43" s="48" t="n"/>
      <c r="D43" s="49" t="n"/>
      <c r="E43" s="61" t="n"/>
      <c r="F43" s="13">
        <f>D43*E43</f>
        <v/>
      </c>
      <c r="G43" s="13">
        <f>D43-F43</f>
        <v/>
      </c>
      <c r="H43" s="12">
        <f>IF(A43="","",TEXT(A43,"MMMM YYYY"))</f>
        <v/>
      </c>
      <c r="I43" s="48" t="n"/>
      <c r="J43" s="12">
        <f>IF(A43="","",MONTH(A43))</f>
        <v/>
      </c>
      <c r="K43" s="12">
        <f>IF(A43="","",YEAR(A43))</f>
        <v/>
      </c>
    </row>
    <row r="44">
      <c r="A44" s="43" t="n"/>
      <c r="B44" s="44" t="n"/>
      <c r="C44" s="44" t="n"/>
      <c r="D44" s="45" t="n"/>
      <c r="E44" s="60" t="n"/>
      <c r="F44" s="10">
        <f>D44*E44</f>
        <v/>
      </c>
      <c r="G44" s="10">
        <f>D44-F44</f>
        <v/>
      </c>
      <c r="H44" s="9">
        <f>IF(A44="","",TEXT(A44,"MMMM YYYY"))</f>
        <v/>
      </c>
      <c r="I44" s="44" t="n"/>
      <c r="J44" s="9">
        <f>IF(A44="","",MONTH(A44))</f>
        <v/>
      </c>
      <c r="K44" s="9">
        <f>IF(A44="","",YEAR(A44))</f>
        <v/>
      </c>
    </row>
    <row r="45">
      <c r="A45" s="47" t="n"/>
      <c r="B45" s="48" t="n"/>
      <c r="C45" s="48" t="n"/>
      <c r="D45" s="49" t="n"/>
      <c r="E45" s="61" t="n"/>
      <c r="F45" s="13">
        <f>D45*E45</f>
        <v/>
      </c>
      <c r="G45" s="13">
        <f>D45-F45</f>
        <v/>
      </c>
      <c r="H45" s="12">
        <f>IF(A45="","",TEXT(A45,"MMMM YYYY"))</f>
        <v/>
      </c>
      <c r="I45" s="48" t="n"/>
      <c r="J45" s="12">
        <f>IF(A45="","",MONTH(A45))</f>
        <v/>
      </c>
      <c r="K45" s="12">
        <f>IF(A45="","",YEAR(A45))</f>
        <v/>
      </c>
    </row>
    <row r="46">
      <c r="A46" s="43" t="n"/>
      <c r="B46" s="44" t="n"/>
      <c r="C46" s="44" t="n"/>
      <c r="D46" s="45" t="n"/>
      <c r="E46" s="60" t="n"/>
      <c r="F46" s="10">
        <f>D46*E46</f>
        <v/>
      </c>
      <c r="G46" s="10">
        <f>D46-F46</f>
        <v/>
      </c>
      <c r="H46" s="9">
        <f>IF(A46="","",TEXT(A46,"MMMM YYYY"))</f>
        <v/>
      </c>
      <c r="I46" s="44" t="n"/>
      <c r="J46" s="9">
        <f>IF(A46="","",MONTH(A46))</f>
        <v/>
      </c>
      <c r="K46" s="9">
        <f>IF(A46="","",YEAR(A46))</f>
        <v/>
      </c>
    </row>
    <row r="47">
      <c r="A47" s="47" t="n"/>
      <c r="B47" s="48" t="n"/>
      <c r="C47" s="48" t="n"/>
      <c r="D47" s="49" t="n"/>
      <c r="E47" s="61" t="n"/>
      <c r="F47" s="13">
        <f>D47*E47</f>
        <v/>
      </c>
      <c r="G47" s="13">
        <f>D47-F47</f>
        <v/>
      </c>
      <c r="H47" s="12">
        <f>IF(A47="","",TEXT(A47,"MMMM YYYY"))</f>
        <v/>
      </c>
      <c r="I47" s="48" t="n"/>
      <c r="J47" s="12">
        <f>IF(A47="","",MONTH(A47))</f>
        <v/>
      </c>
      <c r="K47" s="12">
        <f>IF(A47="","",YEAR(A47))</f>
        <v/>
      </c>
    </row>
    <row r="48">
      <c r="A48" s="43" t="n"/>
      <c r="B48" s="44" t="n"/>
      <c r="C48" s="44" t="n"/>
      <c r="D48" s="45" t="n"/>
      <c r="E48" s="60" t="n"/>
      <c r="F48" s="10">
        <f>D48*E48</f>
        <v/>
      </c>
      <c r="G48" s="10">
        <f>D48-F48</f>
        <v/>
      </c>
      <c r="H48" s="9">
        <f>IF(A48="","",TEXT(A48,"MMMM YYYY"))</f>
        <v/>
      </c>
      <c r="I48" s="44" t="n"/>
      <c r="J48" s="9">
        <f>IF(A48="","",MONTH(A48))</f>
        <v/>
      </c>
      <c r="K48" s="9">
        <f>IF(A48="","",YEAR(A48))</f>
        <v/>
      </c>
    </row>
    <row r="49">
      <c r="A49" s="47" t="n"/>
      <c r="B49" s="48" t="n"/>
      <c r="C49" s="48" t="n"/>
      <c r="D49" s="49" t="n"/>
      <c r="E49" s="61" t="n"/>
      <c r="F49" s="13">
        <f>D49*E49</f>
        <v/>
      </c>
      <c r="G49" s="13">
        <f>D49-F49</f>
        <v/>
      </c>
      <c r="H49" s="12">
        <f>IF(A49="","",TEXT(A49,"MMMM YYYY"))</f>
        <v/>
      </c>
      <c r="I49" s="48" t="n"/>
      <c r="J49" s="12">
        <f>IF(A49="","",MONTH(A49))</f>
        <v/>
      </c>
      <c r="K49" s="12">
        <f>IF(A49="","",YEAR(A49))</f>
        <v/>
      </c>
    </row>
    <row r="50">
      <c r="A50" s="43" t="n"/>
      <c r="B50" s="44" t="n"/>
      <c r="C50" s="44" t="n"/>
      <c r="D50" s="45" t="n"/>
      <c r="E50" s="60" t="n"/>
      <c r="F50" s="10">
        <f>D50*E50</f>
        <v/>
      </c>
      <c r="G50" s="10">
        <f>D50-F50</f>
        <v/>
      </c>
      <c r="H50" s="9">
        <f>IF(A50="","",TEXT(A50,"MMMM YYYY"))</f>
        <v/>
      </c>
      <c r="I50" s="44" t="n"/>
      <c r="J50" s="9">
        <f>IF(A50="","",MONTH(A50))</f>
        <v/>
      </c>
      <c r="K50" s="9">
        <f>IF(A50="","",YEAR(A50))</f>
        <v/>
      </c>
    </row>
    <row r="51">
      <c r="A51" s="47" t="n"/>
      <c r="B51" s="48" t="n"/>
      <c r="C51" s="48" t="n"/>
      <c r="D51" s="49" t="n"/>
      <c r="E51" s="61" t="n"/>
      <c r="F51" s="13">
        <f>D51*E51</f>
        <v/>
      </c>
      <c r="G51" s="13">
        <f>D51-F51</f>
        <v/>
      </c>
      <c r="H51" s="12">
        <f>IF(A51="","",TEXT(A51,"MMMM YYYY"))</f>
        <v/>
      </c>
      <c r="I51" s="48" t="n"/>
      <c r="J51" s="12">
        <f>IF(A51="","",MONTH(A51))</f>
        <v/>
      </c>
      <c r="K51" s="12">
        <f>IF(A51="","",YEAR(A51))</f>
        <v/>
      </c>
    </row>
    <row r="52">
      <c r="A52" s="43" t="n"/>
      <c r="B52" s="44" t="n"/>
      <c r="C52" s="44" t="n"/>
      <c r="D52" s="45" t="n"/>
      <c r="E52" s="60" t="n"/>
      <c r="F52" s="10">
        <f>D52*E52</f>
        <v/>
      </c>
      <c r="G52" s="10">
        <f>D52-F52</f>
        <v/>
      </c>
      <c r="H52" s="9">
        <f>IF(A52="","",TEXT(A52,"MMMM YYYY"))</f>
        <v/>
      </c>
      <c r="I52" s="44" t="n"/>
      <c r="J52" s="9">
        <f>IF(A52="","",MONTH(A52))</f>
        <v/>
      </c>
      <c r="K52" s="9">
        <f>IF(A52="","",YEAR(A52))</f>
        <v/>
      </c>
    </row>
    <row r="53">
      <c r="A53" s="47" t="n"/>
      <c r="B53" s="48" t="n"/>
      <c r="C53" s="48" t="n"/>
      <c r="D53" s="49" t="n"/>
      <c r="E53" s="61" t="n"/>
      <c r="F53" s="13">
        <f>D53*E53</f>
        <v/>
      </c>
      <c r="G53" s="13">
        <f>D53-F53</f>
        <v/>
      </c>
      <c r="H53" s="12">
        <f>IF(A53="","",TEXT(A53,"MMMM YYYY"))</f>
        <v/>
      </c>
      <c r="I53" s="48" t="n"/>
      <c r="J53" s="12">
        <f>IF(A53="","",MONTH(A53))</f>
        <v/>
      </c>
      <c r="K53" s="12">
        <f>IF(A53="","",YEAR(A53))</f>
        <v/>
      </c>
    </row>
    <row r="54">
      <c r="A54" s="43" t="n"/>
      <c r="B54" s="44" t="n"/>
      <c r="C54" s="44" t="n"/>
      <c r="D54" s="45" t="n"/>
      <c r="E54" s="60" t="n"/>
      <c r="F54" s="10">
        <f>D54*E54</f>
        <v/>
      </c>
      <c r="G54" s="10">
        <f>D54-F54</f>
        <v/>
      </c>
      <c r="H54" s="9">
        <f>IF(A54="","",TEXT(A54,"MMMM YYYY"))</f>
        <v/>
      </c>
      <c r="I54" s="44" t="n"/>
      <c r="J54" s="9">
        <f>IF(A54="","",MONTH(A54))</f>
        <v/>
      </c>
      <c r="K54" s="9">
        <f>IF(A54="","",YEAR(A54))</f>
        <v/>
      </c>
    </row>
    <row r="55">
      <c r="A55" s="47" t="n"/>
      <c r="B55" s="48" t="n"/>
      <c r="C55" s="48" t="n"/>
      <c r="D55" s="49" t="n"/>
      <c r="E55" s="61" t="n"/>
      <c r="F55" s="13">
        <f>D55*E55</f>
        <v/>
      </c>
      <c r="G55" s="13">
        <f>D55-F55</f>
        <v/>
      </c>
      <c r="H55" s="12">
        <f>IF(A55="","",TEXT(A55,"MMMM YYYY"))</f>
        <v/>
      </c>
      <c r="I55" s="48" t="n"/>
      <c r="J55" s="12">
        <f>IF(A55="","",MONTH(A55))</f>
        <v/>
      </c>
      <c r="K55" s="12">
        <f>IF(A55="","",YEAR(A55))</f>
        <v/>
      </c>
    </row>
    <row r="56">
      <c r="A56" s="43" t="n"/>
      <c r="B56" s="44" t="n"/>
      <c r="C56" s="44" t="n"/>
      <c r="D56" s="45" t="n"/>
      <c r="E56" s="60" t="n"/>
      <c r="F56" s="10">
        <f>D56*E56</f>
        <v/>
      </c>
      <c r="G56" s="10">
        <f>D56-F56</f>
        <v/>
      </c>
      <c r="H56" s="9">
        <f>IF(A56="","",TEXT(A56,"MMMM YYYY"))</f>
        <v/>
      </c>
      <c r="I56" s="44" t="n"/>
      <c r="J56" s="9">
        <f>IF(A56="","",MONTH(A56))</f>
        <v/>
      </c>
      <c r="K56" s="9">
        <f>IF(A56="","",YEAR(A56))</f>
        <v/>
      </c>
    </row>
    <row r="57">
      <c r="A57" s="47" t="n"/>
      <c r="B57" s="48" t="n"/>
      <c r="C57" s="48" t="n"/>
      <c r="D57" s="49" t="n"/>
      <c r="E57" s="61" t="n"/>
      <c r="F57" s="13">
        <f>D57*E57</f>
        <v/>
      </c>
      <c r="G57" s="13">
        <f>D57-F57</f>
        <v/>
      </c>
      <c r="H57" s="12">
        <f>IF(A57="","",TEXT(A57,"MMMM YYYY"))</f>
        <v/>
      </c>
      <c r="I57" s="48" t="n"/>
      <c r="J57" s="12">
        <f>IF(A57="","",MONTH(A57))</f>
        <v/>
      </c>
      <c r="K57" s="12">
        <f>IF(A57="","",YEAR(A57))</f>
        <v/>
      </c>
    </row>
    <row r="58">
      <c r="A58" s="43" t="n"/>
      <c r="B58" s="44" t="n"/>
      <c r="C58" s="44" t="n"/>
      <c r="D58" s="45" t="n"/>
      <c r="E58" s="60" t="n"/>
      <c r="F58" s="10">
        <f>D58*E58</f>
        <v/>
      </c>
      <c r="G58" s="10">
        <f>D58-F58</f>
        <v/>
      </c>
      <c r="H58" s="9">
        <f>IF(A58="","",TEXT(A58,"MMMM YYYY"))</f>
        <v/>
      </c>
      <c r="I58" s="44" t="n"/>
      <c r="J58" s="9">
        <f>IF(A58="","",MONTH(A58))</f>
        <v/>
      </c>
      <c r="K58" s="9">
        <f>IF(A58="","",YEAR(A58))</f>
        <v/>
      </c>
    </row>
    <row r="59">
      <c r="A59" s="47" t="n"/>
      <c r="B59" s="48" t="n"/>
      <c r="C59" s="48" t="n"/>
      <c r="D59" s="49" t="n"/>
      <c r="E59" s="61" t="n"/>
      <c r="F59" s="13">
        <f>D59*E59</f>
        <v/>
      </c>
      <c r="G59" s="13">
        <f>D59-F59</f>
        <v/>
      </c>
      <c r="H59" s="12">
        <f>IF(A59="","",TEXT(A59,"MMMM YYYY"))</f>
        <v/>
      </c>
      <c r="I59" s="48" t="n"/>
      <c r="J59" s="12">
        <f>IF(A59="","",MONTH(A59))</f>
        <v/>
      </c>
      <c r="K59" s="12">
        <f>IF(A59="","",YEAR(A59))</f>
        <v/>
      </c>
    </row>
    <row r="60">
      <c r="A60" s="43" t="n"/>
      <c r="B60" s="44" t="n"/>
      <c r="C60" s="44" t="n"/>
      <c r="D60" s="45" t="n"/>
      <c r="E60" s="60" t="n"/>
      <c r="F60" s="10">
        <f>D60*E60</f>
        <v/>
      </c>
      <c r="G60" s="10">
        <f>D60-F60</f>
        <v/>
      </c>
      <c r="H60" s="9">
        <f>IF(A60="","",TEXT(A60,"MMMM YYYY"))</f>
        <v/>
      </c>
      <c r="I60" s="44" t="n"/>
      <c r="J60" s="9">
        <f>IF(A60="","",MONTH(A60))</f>
        <v/>
      </c>
      <c r="K60" s="9">
        <f>IF(A60="","",YEAR(A60))</f>
        <v/>
      </c>
    </row>
    <row r="61">
      <c r="A61" s="47" t="n"/>
      <c r="B61" s="48" t="n"/>
      <c r="C61" s="48" t="n"/>
      <c r="D61" s="49" t="n"/>
      <c r="E61" s="61" t="n"/>
      <c r="F61" s="13">
        <f>D61*E61</f>
        <v/>
      </c>
      <c r="G61" s="13">
        <f>D61-F61</f>
        <v/>
      </c>
      <c r="H61" s="12">
        <f>IF(A61="","",TEXT(A61,"MMMM YYYY"))</f>
        <v/>
      </c>
      <c r="I61" s="48" t="n"/>
      <c r="J61" s="12">
        <f>IF(A61="","",MONTH(A61))</f>
        <v/>
      </c>
      <c r="K61" s="12">
        <f>IF(A61="","",YEAR(A61))</f>
        <v/>
      </c>
    </row>
    <row r="62">
      <c r="A62" s="43" t="n"/>
      <c r="B62" s="44" t="n"/>
      <c r="C62" s="44" t="n"/>
      <c r="D62" s="45" t="n"/>
      <c r="E62" s="60" t="n"/>
      <c r="F62" s="10">
        <f>D62*E62</f>
        <v/>
      </c>
      <c r="G62" s="10">
        <f>D62-F62</f>
        <v/>
      </c>
      <c r="H62" s="9">
        <f>IF(A62="","",TEXT(A62,"MMMM YYYY"))</f>
        <v/>
      </c>
      <c r="I62" s="44" t="n"/>
      <c r="J62" s="9">
        <f>IF(A62="","",MONTH(A62))</f>
        <v/>
      </c>
      <c r="K62" s="9">
        <f>IF(A62="","",YEAR(A62))</f>
        <v/>
      </c>
    </row>
    <row r="63">
      <c r="A63" s="47" t="n"/>
      <c r="B63" s="48" t="n"/>
      <c r="C63" s="48" t="n"/>
      <c r="D63" s="49" t="n"/>
      <c r="E63" s="61" t="n"/>
      <c r="F63" s="13">
        <f>D63*E63</f>
        <v/>
      </c>
      <c r="G63" s="13">
        <f>D63-F63</f>
        <v/>
      </c>
      <c r="H63" s="12">
        <f>IF(A63="","",TEXT(A63,"MMMM YYYY"))</f>
        <v/>
      </c>
      <c r="I63" s="48" t="n"/>
      <c r="J63" s="12">
        <f>IF(A63="","",MONTH(A63))</f>
        <v/>
      </c>
      <c r="K63" s="12">
        <f>IF(A63="","",YEAR(A63))</f>
        <v/>
      </c>
    </row>
    <row r="64">
      <c r="A64" s="43" t="n"/>
      <c r="B64" s="44" t="n"/>
      <c r="C64" s="44" t="n"/>
      <c r="D64" s="45" t="n"/>
      <c r="E64" s="60" t="n"/>
      <c r="F64" s="10">
        <f>D64*E64</f>
        <v/>
      </c>
      <c r="G64" s="10">
        <f>D64-F64</f>
        <v/>
      </c>
      <c r="H64" s="9">
        <f>IF(A64="","",TEXT(A64,"MMMM YYYY"))</f>
        <v/>
      </c>
      <c r="I64" s="44" t="n"/>
      <c r="J64" s="9">
        <f>IF(A64="","",MONTH(A64))</f>
        <v/>
      </c>
      <c r="K64" s="9">
        <f>IF(A64="","",YEAR(A64))</f>
        <v/>
      </c>
    </row>
    <row r="65">
      <c r="A65" s="47" t="n"/>
      <c r="B65" s="48" t="n"/>
      <c r="C65" s="48" t="n"/>
      <c r="D65" s="49" t="n"/>
      <c r="E65" s="61" t="n"/>
      <c r="F65" s="13">
        <f>D65*E65</f>
        <v/>
      </c>
      <c r="G65" s="13">
        <f>D65-F65</f>
        <v/>
      </c>
      <c r="H65" s="12">
        <f>IF(A65="","",TEXT(A65,"MMMM YYYY"))</f>
        <v/>
      </c>
      <c r="I65" s="48" t="n"/>
      <c r="J65" s="12">
        <f>IF(A65="","",MONTH(A65))</f>
        <v/>
      </c>
      <c r="K65" s="12">
        <f>IF(A65="","",YEAR(A65))</f>
        <v/>
      </c>
    </row>
    <row r="66">
      <c r="A66" s="43" t="n"/>
      <c r="B66" s="44" t="n"/>
      <c r="C66" s="44" t="n"/>
      <c r="D66" s="45" t="n"/>
      <c r="E66" s="60" t="n"/>
      <c r="F66" s="10">
        <f>D66*E66</f>
        <v/>
      </c>
      <c r="G66" s="10">
        <f>D66-F66</f>
        <v/>
      </c>
      <c r="H66" s="9">
        <f>IF(A66="","",TEXT(A66,"MMMM YYYY"))</f>
        <v/>
      </c>
      <c r="I66" s="44" t="n"/>
      <c r="J66" s="9">
        <f>IF(A66="","",MONTH(A66))</f>
        <v/>
      </c>
      <c r="K66" s="9">
        <f>IF(A66="","",YEAR(A66))</f>
        <v/>
      </c>
    </row>
    <row r="67">
      <c r="A67" s="47" t="n"/>
      <c r="B67" s="48" t="n"/>
      <c r="C67" s="48" t="n"/>
      <c r="D67" s="49" t="n"/>
      <c r="E67" s="61" t="n"/>
      <c r="F67" s="13">
        <f>D67*E67</f>
        <v/>
      </c>
      <c r="G67" s="13">
        <f>D67-F67</f>
        <v/>
      </c>
      <c r="H67" s="12">
        <f>IF(A67="","",TEXT(A67,"MMMM YYYY"))</f>
        <v/>
      </c>
      <c r="I67" s="48" t="n"/>
      <c r="J67" s="12">
        <f>IF(A67="","",MONTH(A67))</f>
        <v/>
      </c>
      <c r="K67" s="12">
        <f>IF(A67="","",YEAR(A67))</f>
        <v/>
      </c>
    </row>
    <row r="68">
      <c r="A68" s="43" t="n"/>
      <c r="B68" s="44" t="n"/>
      <c r="C68" s="44" t="n"/>
      <c r="D68" s="45" t="n"/>
      <c r="E68" s="60" t="n"/>
      <c r="F68" s="10">
        <f>D68*E68</f>
        <v/>
      </c>
      <c r="G68" s="10">
        <f>D68-F68</f>
        <v/>
      </c>
      <c r="H68" s="9">
        <f>IF(A68="","",TEXT(A68,"MMMM YYYY"))</f>
        <v/>
      </c>
      <c r="I68" s="44" t="n"/>
      <c r="J68" s="9">
        <f>IF(A68="","",MONTH(A68))</f>
        <v/>
      </c>
      <c r="K68" s="9">
        <f>IF(A68="","",YEAR(A68))</f>
        <v/>
      </c>
    </row>
    <row r="69">
      <c r="A69" s="47" t="n"/>
      <c r="B69" s="48" t="n"/>
      <c r="C69" s="48" t="n"/>
      <c r="D69" s="49" t="n"/>
      <c r="E69" s="61" t="n"/>
      <c r="F69" s="13">
        <f>D69*E69</f>
        <v/>
      </c>
      <c r="G69" s="13">
        <f>D69-F69</f>
        <v/>
      </c>
      <c r="H69" s="12">
        <f>IF(A69="","",TEXT(A69,"MMMM YYYY"))</f>
        <v/>
      </c>
      <c r="I69" s="48" t="n"/>
      <c r="J69" s="12">
        <f>IF(A69="","",MONTH(A69))</f>
        <v/>
      </c>
      <c r="K69" s="12">
        <f>IF(A69="","",YEAR(A69))</f>
        <v/>
      </c>
    </row>
    <row r="70">
      <c r="A70" s="43" t="n"/>
      <c r="B70" s="44" t="n"/>
      <c r="C70" s="44" t="n"/>
      <c r="D70" s="45" t="n"/>
      <c r="E70" s="60" t="n"/>
      <c r="F70" s="10">
        <f>D70*E70</f>
        <v/>
      </c>
      <c r="G70" s="10">
        <f>D70-F70</f>
        <v/>
      </c>
      <c r="H70" s="9">
        <f>IF(A70="","",TEXT(A70,"MMMM YYYY"))</f>
        <v/>
      </c>
      <c r="I70" s="44" t="n"/>
      <c r="J70" s="9">
        <f>IF(A70="","",MONTH(A70))</f>
        <v/>
      </c>
      <c r="K70" s="9">
        <f>IF(A70="","",YEAR(A70))</f>
        <v/>
      </c>
    </row>
    <row r="71">
      <c r="A71" s="47" t="n"/>
      <c r="B71" s="48" t="n"/>
      <c r="C71" s="48" t="n"/>
      <c r="D71" s="49" t="n"/>
      <c r="E71" s="61" t="n"/>
      <c r="F71" s="13">
        <f>D71*E71</f>
        <v/>
      </c>
      <c r="G71" s="13">
        <f>D71-F71</f>
        <v/>
      </c>
      <c r="H71" s="12">
        <f>IF(A71="","",TEXT(A71,"MMMM YYYY"))</f>
        <v/>
      </c>
      <c r="I71" s="48" t="n"/>
      <c r="J71" s="12">
        <f>IF(A71="","",MONTH(A71))</f>
        <v/>
      </c>
      <c r="K71" s="12">
        <f>IF(A71="","",YEAR(A71))</f>
        <v/>
      </c>
    </row>
    <row r="72">
      <c r="A72" s="43" t="n"/>
      <c r="B72" s="44" t="n"/>
      <c r="C72" s="44" t="n"/>
      <c r="D72" s="45" t="n"/>
      <c r="E72" s="60" t="n"/>
      <c r="F72" s="10">
        <f>D72*E72</f>
        <v/>
      </c>
      <c r="G72" s="10">
        <f>D72-F72</f>
        <v/>
      </c>
      <c r="H72" s="9">
        <f>IF(A72="","",TEXT(A72,"MMMM YYYY"))</f>
        <v/>
      </c>
      <c r="I72" s="44" t="n"/>
      <c r="J72" s="9">
        <f>IF(A72="","",MONTH(A72))</f>
        <v/>
      </c>
      <c r="K72" s="9">
        <f>IF(A72="","",YEAR(A72))</f>
        <v/>
      </c>
    </row>
    <row r="73">
      <c r="A73" s="47" t="n"/>
      <c r="B73" s="48" t="n"/>
      <c r="C73" s="48" t="n"/>
      <c r="D73" s="49" t="n"/>
      <c r="E73" s="61" t="n"/>
      <c r="F73" s="13">
        <f>D73*E73</f>
        <v/>
      </c>
      <c r="G73" s="13">
        <f>D73-F73</f>
        <v/>
      </c>
      <c r="H73" s="12">
        <f>IF(A73="","",TEXT(A73,"MMMM YYYY"))</f>
        <v/>
      </c>
      <c r="I73" s="48" t="n"/>
      <c r="J73" s="12">
        <f>IF(A73="","",MONTH(A73))</f>
        <v/>
      </c>
      <c r="K73" s="12">
        <f>IF(A73="","",YEAR(A73))</f>
        <v/>
      </c>
    </row>
    <row r="74">
      <c r="A74" s="43" t="n"/>
      <c r="B74" s="44" t="n"/>
      <c r="C74" s="44" t="n"/>
      <c r="D74" s="45" t="n"/>
      <c r="E74" s="60" t="n"/>
      <c r="F74" s="10">
        <f>D74*E74</f>
        <v/>
      </c>
      <c r="G74" s="10">
        <f>D74-F74</f>
        <v/>
      </c>
      <c r="H74" s="9">
        <f>IF(A74="","",TEXT(A74,"MMMM YYYY"))</f>
        <v/>
      </c>
      <c r="I74" s="44" t="n"/>
      <c r="J74" s="9">
        <f>IF(A74="","",MONTH(A74))</f>
        <v/>
      </c>
      <c r="K74" s="9">
        <f>IF(A74="","",YEAR(A74))</f>
        <v/>
      </c>
    </row>
    <row r="75">
      <c r="A75" s="47" t="n"/>
      <c r="B75" s="48" t="n"/>
      <c r="C75" s="48" t="n"/>
      <c r="D75" s="49" t="n"/>
      <c r="E75" s="61" t="n"/>
      <c r="F75" s="13">
        <f>D75*E75</f>
        <v/>
      </c>
      <c r="G75" s="13">
        <f>D75-F75</f>
        <v/>
      </c>
      <c r="H75" s="12">
        <f>IF(A75="","",TEXT(A75,"MMMM YYYY"))</f>
        <v/>
      </c>
      <c r="I75" s="48" t="n"/>
      <c r="J75" s="12">
        <f>IF(A75="","",MONTH(A75))</f>
        <v/>
      </c>
      <c r="K75" s="12">
        <f>IF(A75="","",YEAR(A75))</f>
        <v/>
      </c>
    </row>
    <row r="76">
      <c r="A76" s="43" t="n"/>
      <c r="B76" s="44" t="n"/>
      <c r="C76" s="44" t="n"/>
      <c r="D76" s="45" t="n"/>
      <c r="E76" s="60" t="n"/>
      <c r="F76" s="10">
        <f>D76*E76</f>
        <v/>
      </c>
      <c r="G76" s="10">
        <f>D76-F76</f>
        <v/>
      </c>
      <c r="H76" s="9">
        <f>IF(A76="","",TEXT(A76,"MMMM YYYY"))</f>
        <v/>
      </c>
      <c r="I76" s="44" t="n"/>
      <c r="J76" s="9">
        <f>IF(A76="","",MONTH(A76))</f>
        <v/>
      </c>
      <c r="K76" s="9">
        <f>IF(A76="","",YEAR(A76))</f>
        <v/>
      </c>
    </row>
    <row r="77">
      <c r="A77" s="47" t="n"/>
      <c r="B77" s="48" t="n"/>
      <c r="C77" s="48" t="n"/>
      <c r="D77" s="49" t="n"/>
      <c r="E77" s="61" t="n"/>
      <c r="F77" s="13">
        <f>D77*E77</f>
        <v/>
      </c>
      <c r="G77" s="13">
        <f>D77-F77</f>
        <v/>
      </c>
      <c r="H77" s="12">
        <f>IF(A77="","",TEXT(A77,"MMMM YYYY"))</f>
        <v/>
      </c>
      <c r="I77" s="48" t="n"/>
      <c r="J77" s="12">
        <f>IF(A77="","",MONTH(A77))</f>
        <v/>
      </c>
      <c r="K77" s="12">
        <f>IF(A77="","",YEAR(A77))</f>
        <v/>
      </c>
    </row>
    <row r="78">
      <c r="A78" s="43" t="n"/>
      <c r="B78" s="44" t="n"/>
      <c r="C78" s="44" t="n"/>
      <c r="D78" s="45" t="n"/>
      <c r="E78" s="60" t="n"/>
      <c r="F78" s="10">
        <f>D78*E78</f>
        <v/>
      </c>
      <c r="G78" s="10">
        <f>D78-F78</f>
        <v/>
      </c>
      <c r="H78" s="9">
        <f>IF(A78="","",TEXT(A78,"MMMM YYYY"))</f>
        <v/>
      </c>
      <c r="I78" s="44" t="n"/>
      <c r="J78" s="9">
        <f>IF(A78="","",MONTH(A78))</f>
        <v/>
      </c>
      <c r="K78" s="9">
        <f>IF(A78="","",YEAR(A78))</f>
        <v/>
      </c>
    </row>
    <row r="79">
      <c r="A79" s="47" t="n"/>
      <c r="B79" s="48" t="n"/>
      <c r="C79" s="48" t="n"/>
      <c r="D79" s="49" t="n"/>
      <c r="E79" s="61" t="n"/>
      <c r="F79" s="13">
        <f>D79*E79</f>
        <v/>
      </c>
      <c r="G79" s="13">
        <f>D79-F79</f>
        <v/>
      </c>
      <c r="H79" s="12">
        <f>IF(A79="","",TEXT(A79,"MMMM YYYY"))</f>
        <v/>
      </c>
      <c r="I79" s="48" t="n"/>
      <c r="J79" s="12">
        <f>IF(A79="","",MONTH(A79))</f>
        <v/>
      </c>
      <c r="K79" s="12">
        <f>IF(A79="","",YEAR(A79))</f>
        <v/>
      </c>
    </row>
    <row r="80">
      <c r="A80" s="43" t="n"/>
      <c r="B80" s="44" t="n"/>
      <c r="C80" s="44" t="n"/>
      <c r="D80" s="45" t="n"/>
      <c r="E80" s="60" t="n"/>
      <c r="F80" s="10">
        <f>D80*E80</f>
        <v/>
      </c>
      <c r="G80" s="10">
        <f>D80-F80</f>
        <v/>
      </c>
      <c r="H80" s="9">
        <f>IF(A80="","",TEXT(A80,"MMMM YYYY"))</f>
        <v/>
      </c>
      <c r="I80" s="44" t="n"/>
      <c r="J80" s="9">
        <f>IF(A80="","",MONTH(A80))</f>
        <v/>
      </c>
      <c r="K80" s="9">
        <f>IF(A80="","",YEAR(A80))</f>
        <v/>
      </c>
    </row>
    <row r="81">
      <c r="A81" s="47" t="n"/>
      <c r="B81" s="48" t="n"/>
      <c r="C81" s="48" t="n"/>
      <c r="D81" s="49" t="n"/>
      <c r="E81" s="61" t="n"/>
      <c r="F81" s="13">
        <f>D81*E81</f>
        <v/>
      </c>
      <c r="G81" s="13">
        <f>D81-F81</f>
        <v/>
      </c>
      <c r="H81" s="12">
        <f>IF(A81="","",TEXT(A81,"MMMM YYYY"))</f>
        <v/>
      </c>
      <c r="I81" s="48" t="n"/>
      <c r="J81" s="12">
        <f>IF(A81="","",MONTH(A81))</f>
        <v/>
      </c>
      <c r="K81" s="12">
        <f>IF(A81="","",YEAR(A81))</f>
        <v/>
      </c>
    </row>
    <row r="82">
      <c r="A82" s="43" t="n"/>
      <c r="B82" s="44" t="n"/>
      <c r="C82" s="44" t="n"/>
      <c r="D82" s="45" t="n"/>
      <c r="E82" s="60" t="n"/>
      <c r="F82" s="10">
        <f>D82*E82</f>
        <v/>
      </c>
      <c r="G82" s="10">
        <f>D82-F82</f>
        <v/>
      </c>
      <c r="H82" s="9">
        <f>IF(A82="","",TEXT(A82,"MMMM YYYY"))</f>
        <v/>
      </c>
      <c r="I82" s="44" t="n"/>
      <c r="J82" s="9">
        <f>IF(A82="","",MONTH(A82))</f>
        <v/>
      </c>
      <c r="K82" s="9">
        <f>IF(A82="","",YEAR(A82))</f>
        <v/>
      </c>
    </row>
    <row r="83">
      <c r="A83" s="47" t="n"/>
      <c r="B83" s="48" t="n"/>
      <c r="C83" s="48" t="n"/>
      <c r="D83" s="49" t="n"/>
      <c r="E83" s="61" t="n"/>
      <c r="F83" s="13">
        <f>D83*E83</f>
        <v/>
      </c>
      <c r="G83" s="13">
        <f>D83-F83</f>
        <v/>
      </c>
      <c r="H83" s="12">
        <f>IF(A83="","",TEXT(A83,"MMMM YYYY"))</f>
        <v/>
      </c>
      <c r="I83" s="48" t="n"/>
      <c r="J83" s="12">
        <f>IF(A83="","",MONTH(A83))</f>
        <v/>
      </c>
      <c r="K83" s="12">
        <f>IF(A83="","",YEAR(A83))</f>
        <v/>
      </c>
    </row>
    <row r="84">
      <c r="A84" s="43" t="n"/>
      <c r="B84" s="44" t="n"/>
      <c r="C84" s="44" t="n"/>
      <c r="D84" s="45" t="n"/>
      <c r="E84" s="60" t="n"/>
      <c r="F84" s="10">
        <f>D84*E84</f>
        <v/>
      </c>
      <c r="G84" s="10">
        <f>D84-F84</f>
        <v/>
      </c>
      <c r="H84" s="9">
        <f>IF(A84="","",TEXT(A84,"MMMM YYYY"))</f>
        <v/>
      </c>
      <c r="I84" s="44" t="n"/>
      <c r="J84" s="9">
        <f>IF(A84="","",MONTH(A84))</f>
        <v/>
      </c>
      <c r="K84" s="9">
        <f>IF(A84="","",YEAR(A84))</f>
        <v/>
      </c>
    </row>
    <row r="85">
      <c r="A85" s="47" t="n"/>
      <c r="B85" s="48" t="n"/>
      <c r="C85" s="48" t="n"/>
      <c r="D85" s="49" t="n"/>
      <c r="E85" s="61" t="n"/>
      <c r="F85" s="13">
        <f>D85*E85</f>
        <v/>
      </c>
      <c r="G85" s="13">
        <f>D85-F85</f>
        <v/>
      </c>
      <c r="H85" s="12">
        <f>IF(A85="","",TEXT(A85,"MMMM YYYY"))</f>
        <v/>
      </c>
      <c r="I85" s="48" t="n"/>
      <c r="J85" s="12">
        <f>IF(A85="","",MONTH(A85))</f>
        <v/>
      </c>
      <c r="K85" s="12">
        <f>IF(A85="","",YEAR(A85))</f>
        <v/>
      </c>
    </row>
    <row r="86">
      <c r="A86" s="43" t="n"/>
      <c r="B86" s="44" t="n"/>
      <c r="C86" s="44" t="n"/>
      <c r="D86" s="45" t="n"/>
      <c r="E86" s="60" t="n"/>
      <c r="F86" s="10">
        <f>D86*E86</f>
        <v/>
      </c>
      <c r="G86" s="10">
        <f>D86-F86</f>
        <v/>
      </c>
      <c r="H86" s="9">
        <f>IF(A86="","",TEXT(A86,"MMMM YYYY"))</f>
        <v/>
      </c>
      <c r="I86" s="44" t="n"/>
      <c r="J86" s="9">
        <f>IF(A86="","",MONTH(A86))</f>
        <v/>
      </c>
      <c r="K86" s="9">
        <f>IF(A86="","",YEAR(A86))</f>
        <v/>
      </c>
    </row>
    <row r="87">
      <c r="A87" s="47" t="n"/>
      <c r="B87" s="48" t="n"/>
      <c r="C87" s="48" t="n"/>
      <c r="D87" s="49" t="n"/>
      <c r="E87" s="61" t="n"/>
      <c r="F87" s="13">
        <f>D87*E87</f>
        <v/>
      </c>
      <c r="G87" s="13">
        <f>D87-F87</f>
        <v/>
      </c>
      <c r="H87" s="12">
        <f>IF(A87="","",TEXT(A87,"MMMM YYYY"))</f>
        <v/>
      </c>
      <c r="I87" s="48" t="n"/>
      <c r="J87" s="12">
        <f>IF(A87="","",MONTH(A87))</f>
        <v/>
      </c>
      <c r="K87" s="12">
        <f>IF(A87="","",YEAR(A87))</f>
        <v/>
      </c>
    </row>
    <row r="88">
      <c r="A88" s="43" t="n"/>
      <c r="B88" s="44" t="n"/>
      <c r="C88" s="44" t="n"/>
      <c r="D88" s="45" t="n"/>
      <c r="E88" s="60" t="n"/>
      <c r="F88" s="10">
        <f>D88*E88</f>
        <v/>
      </c>
      <c r="G88" s="10">
        <f>D88-F88</f>
        <v/>
      </c>
      <c r="H88" s="9">
        <f>IF(A88="","",TEXT(A88,"MMMM YYYY"))</f>
        <v/>
      </c>
      <c r="I88" s="44" t="n"/>
      <c r="J88" s="9">
        <f>IF(A88="","",MONTH(A88))</f>
        <v/>
      </c>
      <c r="K88" s="9">
        <f>IF(A88="","",YEAR(A88))</f>
        <v/>
      </c>
    </row>
    <row r="89">
      <c r="A89" s="47" t="n"/>
      <c r="B89" s="48" t="n"/>
      <c r="C89" s="48" t="n"/>
      <c r="D89" s="49" t="n"/>
      <c r="E89" s="61" t="n"/>
      <c r="F89" s="13">
        <f>D89*E89</f>
        <v/>
      </c>
      <c r="G89" s="13">
        <f>D89-F89</f>
        <v/>
      </c>
      <c r="H89" s="12">
        <f>IF(A89="","",TEXT(A89,"MMMM YYYY"))</f>
        <v/>
      </c>
      <c r="I89" s="48" t="n"/>
      <c r="J89" s="12">
        <f>IF(A89="","",MONTH(A89))</f>
        <v/>
      </c>
      <c r="K89" s="12">
        <f>IF(A89="","",YEAR(A89))</f>
        <v/>
      </c>
    </row>
    <row r="90">
      <c r="A90" s="43" t="n"/>
      <c r="B90" s="44" t="n"/>
      <c r="C90" s="44" t="n"/>
      <c r="D90" s="45" t="n"/>
      <c r="E90" s="60" t="n"/>
      <c r="F90" s="10">
        <f>D90*E90</f>
        <v/>
      </c>
      <c r="G90" s="10">
        <f>D90-F90</f>
        <v/>
      </c>
      <c r="H90" s="9">
        <f>IF(A90="","",TEXT(A90,"MMMM YYYY"))</f>
        <v/>
      </c>
      <c r="I90" s="44" t="n"/>
      <c r="J90" s="9">
        <f>IF(A90="","",MONTH(A90))</f>
        <v/>
      </c>
      <c r="K90" s="9">
        <f>IF(A90="","",YEAR(A90))</f>
        <v/>
      </c>
    </row>
    <row r="91">
      <c r="A91" s="47" t="n"/>
      <c r="B91" s="48" t="n"/>
      <c r="C91" s="48" t="n"/>
      <c r="D91" s="49" t="n"/>
      <c r="E91" s="61" t="n"/>
      <c r="F91" s="13">
        <f>D91*E91</f>
        <v/>
      </c>
      <c r="G91" s="13">
        <f>D91-F91</f>
        <v/>
      </c>
      <c r="H91" s="12">
        <f>IF(A91="","",TEXT(A91,"MMMM YYYY"))</f>
        <v/>
      </c>
      <c r="I91" s="48" t="n"/>
      <c r="J91" s="12">
        <f>IF(A91="","",MONTH(A91))</f>
        <v/>
      </c>
      <c r="K91" s="12">
        <f>IF(A91="","",YEAR(A91))</f>
        <v/>
      </c>
    </row>
    <row r="92">
      <c r="A92" s="43" t="n"/>
      <c r="B92" s="44" t="n"/>
      <c r="C92" s="44" t="n"/>
      <c r="D92" s="45" t="n"/>
      <c r="E92" s="60" t="n"/>
      <c r="F92" s="10">
        <f>D92*E92</f>
        <v/>
      </c>
      <c r="G92" s="10">
        <f>D92-F92</f>
        <v/>
      </c>
      <c r="H92" s="9">
        <f>IF(A92="","",TEXT(A92,"MMMM YYYY"))</f>
        <v/>
      </c>
      <c r="I92" s="44" t="n"/>
      <c r="J92" s="9">
        <f>IF(A92="","",MONTH(A92))</f>
        <v/>
      </c>
      <c r="K92" s="9">
        <f>IF(A92="","",YEAR(A92))</f>
        <v/>
      </c>
    </row>
    <row r="93">
      <c r="A93" s="47" t="n"/>
      <c r="B93" s="48" t="n"/>
      <c r="C93" s="48" t="n"/>
      <c r="D93" s="49" t="n"/>
      <c r="E93" s="61" t="n"/>
      <c r="F93" s="13">
        <f>D93*E93</f>
        <v/>
      </c>
      <c r="G93" s="13">
        <f>D93-F93</f>
        <v/>
      </c>
      <c r="H93" s="12">
        <f>IF(A93="","",TEXT(A93,"MMMM YYYY"))</f>
        <v/>
      </c>
      <c r="I93" s="48" t="n"/>
      <c r="J93" s="12">
        <f>IF(A93="","",MONTH(A93))</f>
        <v/>
      </c>
      <c r="K93" s="12">
        <f>IF(A93="","",YEAR(A93))</f>
        <v/>
      </c>
    </row>
    <row r="94">
      <c r="A94" s="43" t="n"/>
      <c r="B94" s="44" t="n"/>
      <c r="C94" s="44" t="n"/>
      <c r="D94" s="45" t="n"/>
      <c r="E94" s="60" t="n"/>
      <c r="F94" s="10">
        <f>D94*E94</f>
        <v/>
      </c>
      <c r="G94" s="10">
        <f>D94-F94</f>
        <v/>
      </c>
      <c r="H94" s="9">
        <f>IF(A94="","",TEXT(A94,"MMMM YYYY"))</f>
        <v/>
      </c>
      <c r="I94" s="44" t="n"/>
      <c r="J94" s="9">
        <f>IF(A94="","",MONTH(A94))</f>
        <v/>
      </c>
      <c r="K94" s="9">
        <f>IF(A94="","",YEAR(A94))</f>
        <v/>
      </c>
    </row>
    <row r="95">
      <c r="A95" s="47" t="n"/>
      <c r="B95" s="48" t="n"/>
      <c r="C95" s="48" t="n"/>
      <c r="D95" s="49" t="n"/>
      <c r="E95" s="61" t="n"/>
      <c r="F95" s="13">
        <f>D95*E95</f>
        <v/>
      </c>
      <c r="G95" s="13">
        <f>D95-F95</f>
        <v/>
      </c>
      <c r="H95" s="12">
        <f>IF(A95="","",TEXT(A95,"MMMM YYYY"))</f>
        <v/>
      </c>
      <c r="I95" s="48" t="n"/>
      <c r="J95" s="12">
        <f>IF(A95="","",MONTH(A95))</f>
        <v/>
      </c>
      <c r="K95" s="12">
        <f>IF(A95="","",YEAR(A95))</f>
        <v/>
      </c>
    </row>
    <row r="96">
      <c r="A96" s="43" t="n"/>
      <c r="B96" s="44" t="n"/>
      <c r="C96" s="44" t="n"/>
      <c r="D96" s="45" t="n"/>
      <c r="E96" s="60" t="n"/>
      <c r="F96" s="10">
        <f>D96*E96</f>
        <v/>
      </c>
      <c r="G96" s="10">
        <f>D96-F96</f>
        <v/>
      </c>
      <c r="H96" s="9">
        <f>IF(A96="","",TEXT(A96,"MMMM YYYY"))</f>
        <v/>
      </c>
      <c r="I96" s="44" t="n"/>
      <c r="J96" s="9">
        <f>IF(A96="","",MONTH(A96))</f>
        <v/>
      </c>
      <c r="K96" s="9">
        <f>IF(A96="","",YEAR(A96))</f>
        <v/>
      </c>
    </row>
    <row r="97">
      <c r="A97" s="47" t="n"/>
      <c r="B97" s="48" t="n"/>
      <c r="C97" s="48" t="n"/>
      <c r="D97" s="49" t="n"/>
      <c r="E97" s="61" t="n"/>
      <c r="F97" s="13">
        <f>D97*E97</f>
        <v/>
      </c>
      <c r="G97" s="13">
        <f>D97-F97</f>
        <v/>
      </c>
      <c r="H97" s="12">
        <f>IF(A97="","",TEXT(A97,"MMMM YYYY"))</f>
        <v/>
      </c>
      <c r="I97" s="48" t="n"/>
      <c r="J97" s="12">
        <f>IF(A97="","",MONTH(A97))</f>
        <v/>
      </c>
      <c r="K97" s="12">
        <f>IF(A97="","",YEAR(A97))</f>
        <v/>
      </c>
    </row>
    <row r="98">
      <c r="A98" s="43" t="n"/>
      <c r="B98" s="44" t="n"/>
      <c r="C98" s="44" t="n"/>
      <c r="D98" s="45" t="n"/>
      <c r="E98" s="60" t="n"/>
      <c r="F98" s="10">
        <f>D98*E98</f>
        <v/>
      </c>
      <c r="G98" s="10">
        <f>D98-F98</f>
        <v/>
      </c>
      <c r="H98" s="9">
        <f>IF(A98="","",TEXT(A98,"MMMM YYYY"))</f>
        <v/>
      </c>
      <c r="I98" s="44" t="n"/>
      <c r="J98" s="9">
        <f>IF(A98="","",MONTH(A98))</f>
        <v/>
      </c>
      <c r="K98" s="9">
        <f>IF(A98="","",YEAR(A98))</f>
        <v/>
      </c>
    </row>
    <row r="99">
      <c r="A99" s="47" t="n"/>
      <c r="B99" s="48" t="n"/>
      <c r="C99" s="48" t="n"/>
      <c r="D99" s="49" t="n"/>
      <c r="E99" s="61" t="n"/>
      <c r="F99" s="13">
        <f>D99*E99</f>
        <v/>
      </c>
      <c r="G99" s="13">
        <f>D99-F99</f>
        <v/>
      </c>
      <c r="H99" s="12">
        <f>IF(A99="","",TEXT(A99,"MMMM YYYY"))</f>
        <v/>
      </c>
      <c r="I99" s="48" t="n"/>
      <c r="J99" s="12">
        <f>IF(A99="","",MONTH(A99))</f>
        <v/>
      </c>
      <c r="K99" s="12">
        <f>IF(A99="","",YEAR(A99))</f>
        <v/>
      </c>
    </row>
    <row r="100">
      <c r="A100" s="43" t="n"/>
      <c r="B100" s="44" t="n"/>
      <c r="C100" s="44" t="n"/>
      <c r="D100" s="45" t="n"/>
      <c r="E100" s="60" t="n"/>
      <c r="F100" s="10">
        <f>D100*E100</f>
        <v/>
      </c>
      <c r="G100" s="10">
        <f>D100-F100</f>
        <v/>
      </c>
      <c r="H100" s="9">
        <f>IF(A100="","",TEXT(A100,"MMMM YYYY"))</f>
        <v/>
      </c>
      <c r="I100" s="44" t="n"/>
      <c r="J100" s="9">
        <f>IF(A100="","",MONTH(A100))</f>
        <v/>
      </c>
      <c r="K100" s="9">
        <f>IF(A100="","",YEAR(A100))</f>
        <v/>
      </c>
    </row>
    <row r="101">
      <c r="A101" s="47" t="n"/>
      <c r="B101" s="48" t="n"/>
      <c r="C101" s="48" t="n"/>
      <c r="D101" s="49" t="n"/>
      <c r="E101" s="61" t="n"/>
      <c r="F101" s="13">
        <f>D101*E101</f>
        <v/>
      </c>
      <c r="G101" s="13">
        <f>D101-F101</f>
        <v/>
      </c>
      <c r="H101" s="12">
        <f>IF(A101="","",TEXT(A101,"MMMM YYYY"))</f>
        <v/>
      </c>
      <c r="I101" s="48" t="n"/>
      <c r="J101" s="12">
        <f>IF(A101="","",MONTH(A101))</f>
        <v/>
      </c>
      <c r="K101" s="12">
        <f>IF(A101="","",YEAR(A101))</f>
        <v/>
      </c>
    </row>
    <row r="102">
      <c r="A102" s="43" t="n"/>
      <c r="B102" s="44" t="n"/>
      <c r="C102" s="44" t="n"/>
      <c r="D102" s="45" t="n"/>
      <c r="E102" s="60" t="n"/>
      <c r="F102" s="10">
        <f>D102*E102</f>
        <v/>
      </c>
      <c r="G102" s="10">
        <f>D102-F102</f>
        <v/>
      </c>
      <c r="H102" s="9">
        <f>IF(A102="","",TEXT(A102,"MMMM YYYY"))</f>
        <v/>
      </c>
      <c r="I102" s="44" t="n"/>
      <c r="J102" s="9">
        <f>IF(A102="","",MONTH(A102))</f>
        <v/>
      </c>
      <c r="K102" s="9">
        <f>IF(A102="","",YEAR(A102))</f>
        <v/>
      </c>
    </row>
    <row r="103">
      <c r="A103" s="47" t="n"/>
      <c r="B103" s="48" t="n"/>
      <c r="C103" s="48" t="n"/>
      <c r="D103" s="49" t="n"/>
      <c r="E103" s="61" t="n"/>
      <c r="F103" s="13">
        <f>D103*E103</f>
        <v/>
      </c>
      <c r="G103" s="13">
        <f>D103-F103</f>
        <v/>
      </c>
      <c r="H103" s="12">
        <f>IF(A103="","",TEXT(A103,"MMMM YYYY"))</f>
        <v/>
      </c>
      <c r="I103" s="48" t="n"/>
      <c r="J103" s="12">
        <f>IF(A103="","",MONTH(A103))</f>
        <v/>
      </c>
      <c r="K103" s="12">
        <f>IF(A103="","",YEAR(A103))</f>
        <v/>
      </c>
    </row>
    <row r="106">
      <c r="A106" s="4" t="inlineStr">
        <is>
          <t>📅 MONTHLY SUMMARY</t>
        </is>
      </c>
    </row>
    <row r="107">
      <c r="A107" s="1" t="inlineStr">
        <is>
          <t>Month</t>
        </is>
      </c>
      <c r="B107" s="1" t="inlineStr">
        <is>
          <t>Gross Income</t>
        </is>
      </c>
      <c r="C107" s="1" t="inlineStr">
        <is>
          <t>Tax Reserve</t>
        </is>
      </c>
      <c r="D107" s="1" t="inlineStr">
        <is>
          <t>Net Income</t>
        </is>
      </c>
      <c r="E107" s="1" t="inlineStr">
        <is>
          <t># Sources</t>
        </is>
      </c>
    </row>
    <row r="108">
      <c r="A108" s="9" t="inlineStr">
        <is>
          <t>January</t>
        </is>
      </c>
      <c r="B108" s="10">
        <f>SUMIFS(D4:D103,J4:J103,1,K4:K103,YEAR(TODAY()))</f>
        <v/>
      </c>
      <c r="C108" s="10">
        <f>SUMIFS(F4:F103,J4:J103,1,K4:K103,YEAR(TODAY()))</f>
        <v/>
      </c>
      <c r="D108" s="10">
        <f>B108-C108</f>
        <v/>
      </c>
      <c r="E108" s="9">
        <f>COUNTIFS(J4:J103,1,K4:K103,YEAR(TODAY()))</f>
        <v/>
      </c>
    </row>
    <row r="109">
      <c r="A109" s="12" t="inlineStr">
        <is>
          <t>February</t>
        </is>
      </c>
      <c r="B109" s="13">
        <f>SUMIFS(D4:D103,J4:J103,2,K4:K103,YEAR(TODAY()))</f>
        <v/>
      </c>
      <c r="C109" s="13">
        <f>SUMIFS(F4:F103,J4:J103,2,K4:K103,YEAR(TODAY()))</f>
        <v/>
      </c>
      <c r="D109" s="13">
        <f>B109-C109</f>
        <v/>
      </c>
      <c r="E109" s="12">
        <f>COUNTIFS(J4:J103,2,K4:K103,YEAR(TODAY()))</f>
        <v/>
      </c>
    </row>
    <row r="110">
      <c r="A110" s="9" t="inlineStr">
        <is>
          <t>March</t>
        </is>
      </c>
      <c r="B110" s="10">
        <f>SUMIFS(D4:D103,J4:J103,3,K4:K103,YEAR(TODAY()))</f>
        <v/>
      </c>
      <c r="C110" s="10">
        <f>SUMIFS(F4:F103,J4:J103,3,K4:K103,YEAR(TODAY()))</f>
        <v/>
      </c>
      <c r="D110" s="10">
        <f>B110-C110</f>
        <v/>
      </c>
      <c r="E110" s="9">
        <f>COUNTIFS(J4:J103,3,K4:K103,YEAR(TODAY()))</f>
        <v/>
      </c>
    </row>
    <row r="111">
      <c r="A111" s="12" t="inlineStr">
        <is>
          <t>April</t>
        </is>
      </c>
      <c r="B111" s="13">
        <f>SUMIFS(D4:D103,J4:J103,4,K4:K103,YEAR(TODAY()))</f>
        <v/>
      </c>
      <c r="C111" s="13">
        <f>SUMIFS(F4:F103,J4:J103,4,K4:K103,YEAR(TODAY()))</f>
        <v/>
      </c>
      <c r="D111" s="13">
        <f>B111-C111</f>
        <v/>
      </c>
      <c r="E111" s="12">
        <f>COUNTIFS(J4:J103,4,K4:K103,YEAR(TODAY()))</f>
        <v/>
      </c>
    </row>
    <row r="112">
      <c r="A112" s="9" t="inlineStr">
        <is>
          <t>May</t>
        </is>
      </c>
      <c r="B112" s="10">
        <f>SUMIFS(D4:D103,J4:J103,5,K4:K103,YEAR(TODAY()))</f>
        <v/>
      </c>
      <c r="C112" s="10">
        <f>SUMIFS(F4:F103,J4:J103,5,K4:K103,YEAR(TODAY()))</f>
        <v/>
      </c>
      <c r="D112" s="10">
        <f>B112-C112</f>
        <v/>
      </c>
      <c r="E112" s="9">
        <f>COUNTIFS(J4:J103,5,K4:K103,YEAR(TODAY()))</f>
        <v/>
      </c>
    </row>
    <row r="113">
      <c r="A113" s="12" t="inlineStr">
        <is>
          <t>June</t>
        </is>
      </c>
      <c r="B113" s="13">
        <f>SUMIFS(D4:D103,J4:J103,6,K4:K103,YEAR(TODAY()))</f>
        <v/>
      </c>
      <c r="C113" s="13">
        <f>SUMIFS(F4:F103,J4:J103,6,K4:K103,YEAR(TODAY()))</f>
        <v/>
      </c>
      <c r="D113" s="13">
        <f>B113-C113</f>
        <v/>
      </c>
      <c r="E113" s="12">
        <f>COUNTIFS(J4:J103,6,K4:K103,YEAR(TODAY()))</f>
        <v/>
      </c>
    </row>
    <row r="114">
      <c r="A114" s="9" t="inlineStr">
        <is>
          <t>July</t>
        </is>
      </c>
      <c r="B114" s="10">
        <f>SUMIFS(D4:D103,J4:J103,7,K4:K103,YEAR(TODAY()))</f>
        <v/>
      </c>
      <c r="C114" s="10">
        <f>SUMIFS(F4:F103,J4:J103,7,K4:K103,YEAR(TODAY()))</f>
        <v/>
      </c>
      <c r="D114" s="10">
        <f>B114-C114</f>
        <v/>
      </c>
      <c r="E114" s="9">
        <f>COUNTIFS(J4:J103,7,K4:K103,YEAR(TODAY()))</f>
        <v/>
      </c>
    </row>
    <row r="115">
      <c r="A115" s="12" t="inlineStr">
        <is>
          <t>August</t>
        </is>
      </c>
      <c r="B115" s="13">
        <f>SUMIFS(D4:D103,J4:J103,8,K4:K103,YEAR(TODAY()))</f>
        <v/>
      </c>
      <c r="C115" s="13">
        <f>SUMIFS(F4:F103,J4:J103,8,K4:K103,YEAR(TODAY()))</f>
        <v/>
      </c>
      <c r="D115" s="13">
        <f>B115-C115</f>
        <v/>
      </c>
      <c r="E115" s="12">
        <f>COUNTIFS(J4:J103,8,K4:K103,YEAR(TODAY()))</f>
        <v/>
      </c>
    </row>
    <row r="116">
      <c r="A116" s="9" t="inlineStr">
        <is>
          <t>September</t>
        </is>
      </c>
      <c r="B116" s="10">
        <f>SUMIFS(D4:D103,J4:J103,9,K4:K103,YEAR(TODAY()))</f>
        <v/>
      </c>
      <c r="C116" s="10">
        <f>SUMIFS(F4:F103,J4:J103,9,K4:K103,YEAR(TODAY()))</f>
        <v/>
      </c>
      <c r="D116" s="10">
        <f>B116-C116</f>
        <v/>
      </c>
      <c r="E116" s="9">
        <f>COUNTIFS(J4:J103,9,K4:K103,YEAR(TODAY()))</f>
        <v/>
      </c>
    </row>
    <row r="117">
      <c r="A117" s="12" t="inlineStr">
        <is>
          <t>October</t>
        </is>
      </c>
      <c r="B117" s="13">
        <f>SUMIFS(D4:D103,J4:J103,10,K4:K103,YEAR(TODAY()))</f>
        <v/>
      </c>
      <c r="C117" s="13">
        <f>SUMIFS(F4:F103,J4:J103,10,K4:K103,YEAR(TODAY()))</f>
        <v/>
      </c>
      <c r="D117" s="13">
        <f>B117-C117</f>
        <v/>
      </c>
      <c r="E117" s="12">
        <f>COUNTIFS(J4:J103,10,K4:K103,YEAR(TODAY()))</f>
        <v/>
      </c>
    </row>
    <row r="118">
      <c r="A118" s="9" t="inlineStr">
        <is>
          <t>November</t>
        </is>
      </c>
      <c r="B118" s="10">
        <f>SUMIFS(D4:D103,J4:J103,11,K4:K103,YEAR(TODAY()))</f>
        <v/>
      </c>
      <c r="C118" s="10">
        <f>SUMIFS(F4:F103,J4:J103,11,K4:K103,YEAR(TODAY()))</f>
        <v/>
      </c>
      <c r="D118" s="10">
        <f>B118-C118</f>
        <v/>
      </c>
      <c r="E118" s="9">
        <f>COUNTIFS(J4:J103,11,K4:K103,YEAR(TODAY()))</f>
        <v/>
      </c>
    </row>
    <row r="119">
      <c r="A119" s="12" t="inlineStr">
        <is>
          <t>December</t>
        </is>
      </c>
      <c r="B119" s="13">
        <f>SUMIFS(D4:D103,J4:J103,12,K4:K103,YEAR(TODAY()))</f>
        <v/>
      </c>
      <c r="C119" s="13">
        <f>SUMIFS(F4:F103,J4:J103,12,K4:K103,YEAR(TODAY()))</f>
        <v/>
      </c>
      <c r="D119" s="13">
        <f>B119-C119</f>
        <v/>
      </c>
      <c r="E119" s="12">
        <f>COUNTIFS(J4:J103,12,K4:K103,YEAR(TODAY()))</f>
        <v/>
      </c>
    </row>
    <row r="121">
      <c r="A121" s="4" t="inlineStr">
        <is>
          <t>📈 ANNUAL SUMMARY</t>
        </is>
      </c>
      <c r="D121" s="4" t="inlineStr">
        <is>
          <t>💼 INCOME BY SOURCE</t>
        </is>
      </c>
    </row>
    <row r="122">
      <c r="A122" s="76" t="inlineStr">
        <is>
          <t>Total Gross Income</t>
        </is>
      </c>
      <c r="B122" s="10">
        <f>SUM(B108:B119)</f>
        <v/>
      </c>
      <c r="D122" s="9" t="inlineStr">
        <is>
          <t>Salary</t>
        </is>
      </c>
      <c r="E122" s="10">
        <f>SUMIF(B4:B103,D122,D4:D103)</f>
        <v/>
      </c>
      <c r="F122" s="46">
        <f>IFERROR(E122/SUM(D4:D103),0)</f>
        <v/>
      </c>
    </row>
    <row r="123">
      <c r="A123" s="76" t="inlineStr">
        <is>
          <t>Total Tax Reserved</t>
        </is>
      </c>
      <c r="B123" s="10">
        <f>SUM(C108:C119)</f>
        <v/>
      </c>
      <c r="D123" s="12" t="inlineStr">
        <is>
          <t>Freelance/Contract</t>
        </is>
      </c>
      <c r="E123" s="13">
        <f>SUMIF(B4:B103,D123,D4:D103)</f>
        <v/>
      </c>
      <c r="F123" s="50">
        <f>IFERROR(E123/SUM(D4:D103),0)</f>
        <v/>
      </c>
      <c r="G123" s="77" t="n"/>
    </row>
    <row r="124">
      <c r="A124" s="76" t="inlineStr">
        <is>
          <t>Total Net Income</t>
        </is>
      </c>
      <c r="B124" s="10">
        <f>SUM(D108:D119)</f>
        <v/>
      </c>
      <c r="D124" s="9" t="inlineStr">
        <is>
          <t>Business Revenue</t>
        </is>
      </c>
      <c r="E124" s="10">
        <f>SUMIF(B4:B103,D124,D4:D103)</f>
        <v/>
      </c>
      <c r="F124" s="46">
        <f>IFERROR(E124/SUM(D4:D103),0)</f>
        <v/>
      </c>
    </row>
    <row r="125">
      <c r="A125" s="76" t="inlineStr">
        <is>
          <t>Best Income Month</t>
        </is>
      </c>
      <c r="B125" s="9">
        <f>INDEX(A108:A119,MATCH(MAX(B108:B119),B108:B119,0))</f>
        <v/>
      </c>
      <c r="D125" s="12" t="inlineStr">
        <is>
          <t>Rental Income</t>
        </is>
      </c>
      <c r="E125" s="13">
        <f>SUMIF(B4:B103,D125,D4:D103)</f>
        <v/>
      </c>
      <c r="F125" s="50">
        <f>IFERROR(E125/SUM(D4:D103),0)</f>
        <v/>
      </c>
      <c r="G125" s="77" t="n"/>
    </row>
    <row r="126">
      <c r="A126" s="76" t="inlineStr">
        <is>
          <t>Average Monthly Income</t>
        </is>
      </c>
      <c r="B126" s="10">
        <f>IFERROR(AVERAGEIF(B108:B119,"&gt;0"),0)</f>
        <v/>
      </c>
      <c r="D126" s="9" t="inlineStr">
        <is>
          <t>Dividends</t>
        </is>
      </c>
      <c r="E126" s="10">
        <f>SUMIF(B4:B103,D126,D4:D103)</f>
        <v/>
      </c>
      <c r="F126" s="46">
        <f>IFERROR(E126/SUM(D4:D103),0)</f>
        <v/>
      </c>
    </row>
    <row r="127">
      <c r="D127" s="12" t="inlineStr">
        <is>
          <t>Interest</t>
        </is>
      </c>
      <c r="E127" s="13">
        <f>SUMIF(B4:B103,D127,D4:D103)</f>
        <v/>
      </c>
      <c r="F127" s="50">
        <f>IFERROR(E127/SUM(D4:D103),0)</f>
        <v/>
      </c>
      <c r="G127" s="77" t="n"/>
    </row>
    <row r="128">
      <c r="D128" s="9" t="inlineStr">
        <is>
          <t>Refund</t>
        </is>
      </c>
      <c r="E128" s="10">
        <f>SUMIF(B4:B103,D128,D4:D103)</f>
        <v/>
      </c>
      <c r="F128" s="46">
        <f>IFERROR(E128/SUM(D4:D103),0)</f>
        <v/>
      </c>
    </row>
    <row r="129">
      <c r="D129" s="12" t="inlineStr">
        <is>
          <t>Gift</t>
        </is>
      </c>
      <c r="E129" s="13">
        <f>SUMIF(B4:B103,D129,D4:D103)</f>
        <v/>
      </c>
      <c r="F129" s="50">
        <f>IFERROR(E129/SUM(D4:D103),0)</f>
        <v/>
      </c>
      <c r="G129" s="77" t="n"/>
    </row>
    <row r="130">
      <c r="D130" s="9" t="inlineStr">
        <is>
          <t>Side Hustle</t>
        </is>
      </c>
      <c r="E130" s="10">
        <f>SUMIF(B4:B103,D130,D4:D103)</f>
        <v/>
      </c>
      <c r="F130" s="46">
        <f>IFERROR(E130/SUM(D4:D103),0)</f>
        <v/>
      </c>
    </row>
    <row r="131">
      <c r="D131" s="12" t="inlineStr">
        <is>
          <t>Other</t>
        </is>
      </c>
      <c r="E131" s="13">
        <f>SUMIF(B4:B103,D131,D4:D103)</f>
        <v/>
      </c>
      <c r="F131" s="50">
        <f>IFERROR(E131/SUM(D4:D103),0)</f>
        <v/>
      </c>
      <c r="G131" s="7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5">
    <mergeCell ref="I2:K2"/>
    <mergeCell ref="D121:G121"/>
    <mergeCell ref="A121:B121"/>
    <mergeCell ref="A1:K1"/>
    <mergeCell ref="A106:E106"/>
  </mergeCells>
  <dataValidations count="2">
    <dataValidation sqref="B4:B103" showDropDown="0" showInputMessage="0" showErrorMessage="0" allowBlank="1" type="list">
      <formula1>=INCOME_SOURCES</formula1>
    </dataValidation>
    <dataValidation sqref="I4:I103" showDropDown="0" showInputMessage="0" showErrorMessage="0" allowBlank="1" type="list">
      <formula1>=CATEGORY_TYPE</formula1>
    </dataValidation>
  </dataValidations>
  <pageMargins left="0.75" right="0.75" top="1" bottom="1" header="0.5" footer="0.5"/>
  <pageSetup orientation="landscape" fitToHeight="0" fitToWidth="1"/>
  <headerFooter>
    <oddHeader>&amp;CUltimate Budget Planner | Income Tracker | Page &amp;P</oddHeader>
    <oddFooter>&amp;CGenerated with Budget Planner Pro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9D4EDD"/>
    <outlinePr summaryBelow="1" summaryRight="1"/>
  </sheetPr>
  <dimension ref="A1:H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4" customWidth="1" min="4" max="4"/>
    <col width="20" customWidth="1" min="5" max="5"/>
    <col width="14" customWidth="1" min="6" max="6"/>
    <col width="12" customWidth="1" min="7" max="7"/>
    <col width="14" customWidth="1" min="8" max="8"/>
  </cols>
  <sheetData>
    <row r="1" ht="40" customHeight="1">
      <c r="A1" s="2" t="inlineStr">
        <is>
          <t>🎯 Savings Goals</t>
        </is>
      </c>
    </row>
    <row r="2" ht="30" customHeight="1">
      <c r="A2" s="78" t="inlineStr">
        <is>
          <t>Set up to 6 savings goals below. Enter your saved amount, monthly contribution, and target date in the yellow cells — progress bars, remaining amounts, and projections update automatically.</t>
        </is>
      </c>
    </row>
    <row r="3">
      <c r="A3" s="4" t="inlineStr">
        <is>
          <t>💚 YOUR GOALS</t>
        </is>
      </c>
    </row>
    <row r="4">
      <c r="A4" s="79" t="inlineStr">
        <is>
          <t>🎯 Emergency Fund</t>
        </is>
      </c>
      <c r="B4" s="9" t="n"/>
      <c r="C4" s="9" t="n"/>
      <c r="D4" s="9" t="n"/>
      <c r="E4" s="80" t="inlineStr">
        <is>
          <t>Target Amount:</t>
        </is>
      </c>
      <c r="F4" s="81" t="n">
        <v>10000</v>
      </c>
      <c r="G4" s="9" t="n"/>
      <c r="H4" s="9" t="n"/>
    </row>
    <row r="5">
      <c r="A5" s="82" t="inlineStr">
        <is>
          <t>💰 Saved:</t>
        </is>
      </c>
      <c r="B5" s="24" t="n">
        <v>6500</v>
      </c>
      <c r="C5" s="82" t="inlineStr">
        <is>
          <t>📆 Monthly Contribution:</t>
        </is>
      </c>
      <c r="D5" s="24" t="n">
        <v>300</v>
      </c>
      <c r="E5" s="82" t="inlineStr">
        <is>
          <t>🗓️ Target Date:</t>
        </is>
      </c>
      <c r="F5" s="83" t="n">
        <v>46552</v>
      </c>
      <c r="G5" s="82" t="inlineStr">
        <is>
          <t>Remaining:</t>
        </is>
      </c>
      <c r="H5" s="10">
        <f>F4-B5</f>
        <v/>
      </c>
    </row>
    <row r="6">
      <c r="A6" s="84">
        <f>REPT("█",ROUND((IFERROR(MIN(B5/F4,1),0))*20,0))&amp;REPT("░",20-ROUND((IFERROR(MIN(B5/F4,1),0))*20,0))&amp;" "&amp;TEXT(IFERROR(MIN(B5/F4,1),0),"0%")</f>
        <v/>
      </c>
    </row>
    <row r="7">
      <c r="A7" s="85">
        <f>IF(B5&gt;=F4,"🎉 Goal reached — congratulations!","📅 On track to reach this goal around "&amp;IF(D5&lt;=0,"N/A (set a monthly contribution)",TEXT(TODAY()+(F4-B5)/D5*30,"MMMM YYYY"))&amp;".   💡 To hit your "&amp;TEXT(F5,"MMM YYYY")&amp;" target date, save "&amp;TEXT(IFERROR((F4-B5)/MAX(DATEDIF(TODAY(),F5,"M"),1),F4-B5),"$#,##0")&amp;"/month.")</f>
        <v/>
      </c>
    </row>
    <row r="8" ht="8" customHeight="1"/>
    <row r="9">
      <c r="A9" s="79" t="inlineStr">
        <is>
          <t>🎯 Vacation</t>
        </is>
      </c>
      <c r="B9" s="9" t="n"/>
      <c r="C9" s="9" t="n"/>
      <c r="D9" s="9" t="n"/>
      <c r="E9" s="80" t="inlineStr">
        <is>
          <t>Target Amount:</t>
        </is>
      </c>
      <c r="F9" s="81" t="n">
        <v>3000</v>
      </c>
      <c r="G9" s="9" t="n"/>
      <c r="H9" s="9" t="n"/>
    </row>
    <row r="10">
      <c r="A10" s="82" t="inlineStr">
        <is>
          <t>💰 Saved:</t>
        </is>
      </c>
      <c r="B10" s="24" t="n">
        <v>2400</v>
      </c>
      <c r="C10" s="82" t="inlineStr">
        <is>
          <t>📆 Monthly Contribution:</t>
        </is>
      </c>
      <c r="D10" s="24" t="n">
        <v>150</v>
      </c>
      <c r="E10" s="82" t="inlineStr">
        <is>
          <t>🗓️ Target Date:</t>
        </is>
      </c>
      <c r="F10" s="83" t="n">
        <v>46307</v>
      </c>
      <c r="G10" s="82" t="inlineStr">
        <is>
          <t>Remaining:</t>
        </is>
      </c>
      <c r="H10" s="10">
        <f>F9-B10</f>
        <v/>
      </c>
    </row>
    <row r="11">
      <c r="A11" s="84">
        <f>REPT("█",ROUND((IFERROR(MIN(B10/F9,1),0))*20,0))&amp;REPT("░",20-ROUND((IFERROR(MIN(B10/F9,1),0))*20,0))&amp;" "&amp;TEXT(IFERROR(MIN(B10/F9,1),0),"0%")</f>
        <v/>
      </c>
    </row>
    <row r="12">
      <c r="A12" s="85">
        <f>IF(B10&gt;=F9,"🎉 Goal reached — congratulations!","📅 On track to reach this goal around "&amp;IF(D10&lt;=0,"N/A (set a monthly contribution)",TEXT(TODAY()+(F9-B10)/D10*30,"MMMM YYYY"))&amp;".   💡 To hit your "&amp;TEXT(F10,"MMM YYYY")&amp;" target date, save "&amp;TEXT(IFERROR((F9-B10)/MAX(DATEDIF(TODAY(),F10,"M"),1),F9-B10),"$#,##0")&amp;"/month.")</f>
        <v/>
      </c>
    </row>
    <row r="13" ht="8" customHeight="1"/>
    <row r="14">
      <c r="A14" s="79" t="inlineStr">
        <is>
          <t>🎯 New Car</t>
        </is>
      </c>
      <c r="B14" s="9" t="n"/>
      <c r="C14" s="9" t="n"/>
      <c r="D14" s="9" t="n"/>
      <c r="E14" s="80" t="inlineStr">
        <is>
          <t>Target Amount:</t>
        </is>
      </c>
      <c r="F14" s="81" t="n">
        <v>8000</v>
      </c>
      <c r="G14" s="9" t="n"/>
      <c r="H14" s="9" t="n"/>
    </row>
    <row r="15">
      <c r="A15" s="82" t="inlineStr">
        <is>
          <t>💰 Saved:</t>
        </is>
      </c>
      <c r="B15" s="24" t="n">
        <v>2000</v>
      </c>
      <c r="C15" s="82" t="inlineStr">
        <is>
          <t>📆 Monthly Contribution:</t>
        </is>
      </c>
      <c r="D15" s="24" t="n">
        <v>200</v>
      </c>
      <c r="E15" s="82" t="inlineStr">
        <is>
          <t>🗓️ Target Date:</t>
        </is>
      </c>
      <c r="F15" s="83" t="n">
        <v>46917</v>
      </c>
      <c r="G15" s="82" t="inlineStr">
        <is>
          <t>Remaining:</t>
        </is>
      </c>
      <c r="H15" s="10">
        <f>F14-B15</f>
        <v/>
      </c>
    </row>
    <row r="16">
      <c r="A16" s="84">
        <f>REPT("█",ROUND((IFERROR(MIN(B15/F14,1),0))*20,0))&amp;REPT("░",20-ROUND((IFERROR(MIN(B15/F14,1),0))*20,0))&amp;" "&amp;TEXT(IFERROR(MIN(B15/F14,1),0),"0%")</f>
        <v/>
      </c>
    </row>
    <row r="17">
      <c r="A17" s="85">
        <f>IF(B15&gt;=F14,"🎉 Goal reached — congratulations!","📅 On track to reach this goal around "&amp;IF(D15&lt;=0,"N/A (set a monthly contribution)",TEXT(TODAY()+(F14-B15)/D15*30,"MMMM YYYY"))&amp;".   💡 To hit your "&amp;TEXT(F15,"MMM YYYY")&amp;" target date, save "&amp;TEXT(IFERROR((F14-B15)/MAX(DATEDIF(TODAY(),F15,"M"),1),F14-B15),"$#,##0")&amp;"/month.")</f>
        <v/>
      </c>
    </row>
    <row r="18" ht="8" customHeight="1"/>
    <row r="19">
      <c r="A19" s="79" t="inlineStr">
        <is>
          <t>🎯 Down Payment</t>
        </is>
      </c>
      <c r="B19" s="9" t="n"/>
      <c r="C19" s="9" t="n"/>
      <c r="D19" s="9" t="n"/>
      <c r="E19" s="80" t="inlineStr">
        <is>
          <t>Target Amount:</t>
        </is>
      </c>
      <c r="F19" s="81" t="n">
        <v>25000</v>
      </c>
      <c r="G19" s="9" t="n"/>
      <c r="H19" s="9" t="n"/>
    </row>
    <row r="20">
      <c r="A20" s="82" t="inlineStr">
        <is>
          <t>💰 Saved:</t>
        </is>
      </c>
      <c r="B20" s="24" t="n">
        <v>9000</v>
      </c>
      <c r="C20" s="82" t="inlineStr">
        <is>
          <t>📆 Monthly Contribution:</t>
        </is>
      </c>
      <c r="D20" s="24" t="n">
        <v>400</v>
      </c>
      <c r="E20" s="82" t="inlineStr">
        <is>
          <t>🗓️ Target Date:</t>
        </is>
      </c>
      <c r="F20" s="83" t="n">
        <v>47282</v>
      </c>
      <c r="G20" s="82" t="inlineStr">
        <is>
          <t>Remaining:</t>
        </is>
      </c>
      <c r="H20" s="10">
        <f>F19-B20</f>
        <v/>
      </c>
    </row>
    <row r="21">
      <c r="A21" s="84">
        <f>REPT("█",ROUND((IFERROR(MIN(B20/F19,1),0))*20,0))&amp;REPT("░",20-ROUND((IFERROR(MIN(B20/F19,1),0))*20,0))&amp;" "&amp;TEXT(IFERROR(MIN(B20/F19,1),0),"0%")</f>
        <v/>
      </c>
    </row>
    <row r="22">
      <c r="A22" s="85">
        <f>IF(B20&gt;=F19,"🎉 Goal reached — congratulations!","📅 On track to reach this goal around "&amp;IF(D20&lt;=0,"N/A (set a monthly contribution)",TEXT(TODAY()+(F19-B20)/D20*30,"MMMM YYYY"))&amp;".   💡 To hit your "&amp;TEXT(F20,"MMM YYYY")&amp;" target date, save "&amp;TEXT(IFERROR((F19-B20)/MAX(DATEDIF(TODAY(),F20,"M"),1),F19-B20),"$#,##0")&amp;"/month.")</f>
        <v/>
      </c>
    </row>
    <row r="23" ht="8" customHeight="1"/>
    <row r="24">
      <c r="A24" s="79" t="inlineStr">
        <is>
          <t>🎯 Investment Fund</t>
        </is>
      </c>
      <c r="B24" s="9" t="n"/>
      <c r="C24" s="9" t="n"/>
      <c r="D24" s="9" t="n"/>
      <c r="E24" s="80" t="inlineStr">
        <is>
          <t>Target Amount:</t>
        </is>
      </c>
      <c r="F24" s="81" t="n">
        <v>5000</v>
      </c>
      <c r="G24" s="9" t="n"/>
      <c r="H24" s="9" t="n"/>
    </row>
    <row r="25">
      <c r="A25" s="82" t="inlineStr">
        <is>
          <t>💰 Saved:</t>
        </is>
      </c>
      <c r="B25" s="24" t="n">
        <v>4200</v>
      </c>
      <c r="C25" s="82" t="inlineStr">
        <is>
          <t>📆 Monthly Contribution:</t>
        </is>
      </c>
      <c r="D25" s="24" t="n">
        <v>250</v>
      </c>
      <c r="E25" s="82" t="inlineStr">
        <is>
          <t>🗓️ Target Date:</t>
        </is>
      </c>
      <c r="F25" s="83" t="n">
        <v>46277</v>
      </c>
      <c r="G25" s="82" t="inlineStr">
        <is>
          <t>Remaining:</t>
        </is>
      </c>
      <c r="H25" s="10">
        <f>F24-B25</f>
        <v/>
      </c>
    </row>
    <row r="26">
      <c r="A26" s="84">
        <f>REPT("█",ROUND((IFERROR(MIN(B25/F24,1),0))*20,0))&amp;REPT("░",20-ROUND((IFERROR(MIN(B25/F24,1),0))*20,0))&amp;" "&amp;TEXT(IFERROR(MIN(B25/F24,1),0),"0%")</f>
        <v/>
      </c>
    </row>
    <row r="27">
      <c r="A27" s="85">
        <f>IF(B25&gt;=F24,"🎉 Goal reached — congratulations!","📅 On track to reach this goal around "&amp;IF(D25&lt;=0,"N/A (set a monthly contribution)",TEXT(TODAY()+(F24-B25)/D25*30,"MMMM YYYY"))&amp;".   💡 To hit your "&amp;TEXT(F25,"MMM YYYY")&amp;" target date, save "&amp;TEXT(IFERROR((F24-B25)/MAX(DATEDIF(TODAY(),F25,"M"),1),F24-B25),"$#,##0")&amp;"/month.")</f>
        <v/>
      </c>
    </row>
    <row r="28" ht="8" customHeight="1"/>
    <row r="29">
      <c r="A29" s="79" t="inlineStr">
        <is>
          <t>🎯 Christmas Gifts</t>
        </is>
      </c>
      <c r="B29" s="9" t="n"/>
      <c r="C29" s="9" t="n"/>
      <c r="D29" s="9" t="n"/>
      <c r="E29" s="80" t="inlineStr">
        <is>
          <t>Target Amount:</t>
        </is>
      </c>
      <c r="F29" s="81" t="n">
        <v>1500</v>
      </c>
      <c r="G29" s="9" t="n"/>
      <c r="H29" s="9" t="n"/>
    </row>
    <row r="30">
      <c r="A30" s="82" t="inlineStr">
        <is>
          <t>💰 Saved:</t>
        </is>
      </c>
      <c r="B30" s="24" t="n">
        <v>900</v>
      </c>
      <c r="C30" s="82" t="inlineStr">
        <is>
          <t>📆 Monthly Contribution:</t>
        </is>
      </c>
      <c r="D30" s="24" t="n">
        <v>100</v>
      </c>
      <c r="E30" s="82" t="inlineStr">
        <is>
          <t>🗓️ Target Date:</t>
        </is>
      </c>
      <c r="F30" s="83" t="n">
        <v>46381</v>
      </c>
      <c r="G30" s="82" t="inlineStr">
        <is>
          <t>Remaining:</t>
        </is>
      </c>
      <c r="H30" s="10">
        <f>F29-B30</f>
        <v/>
      </c>
    </row>
    <row r="31">
      <c r="A31" s="84">
        <f>REPT("█",ROUND((IFERROR(MIN(B30/F29,1),0))*20,0))&amp;REPT("░",20-ROUND((IFERROR(MIN(B30/F29,1),0))*20,0))&amp;" "&amp;TEXT(IFERROR(MIN(B30/F29,1),0),"0%")</f>
        <v/>
      </c>
    </row>
    <row r="32">
      <c r="A32" s="85">
        <f>IF(B30&gt;=F29,"🎉 Goal reached — congratulations!","📅 On track to reach this goal around "&amp;IF(D30&lt;=0,"N/A (set a monthly contribution)",TEXT(TODAY()+(F29-B30)/D30*30,"MMMM YYYY"))&amp;".   💡 To hit your "&amp;TEXT(F30,"MMM YYYY")&amp;" target date, save "&amp;TEXT(IFERROR((F29-B30)/MAX(DATEDIF(TODAY(),F30,"M"),1),F29-B30),"$#,##0")&amp;"/month.")</f>
        <v/>
      </c>
    </row>
    <row r="33" ht="8" customHeight="1"/>
    <row r="35">
      <c r="A35" s="4" t="inlineStr">
        <is>
          <t>📊 OVERALL PROGRESS</t>
        </is>
      </c>
    </row>
    <row r="36">
      <c r="A36" s="15" t="inlineStr">
        <is>
          <t>Total Saved</t>
        </is>
      </c>
      <c r="B36" s="13">
        <f>B5+B10+B15+B20+B25+B30</f>
        <v/>
      </c>
      <c r="C36" s="15" t="inlineStr">
        <is>
          <t>Total Target</t>
        </is>
      </c>
      <c r="D36" s="13">
        <f>F4+F9+F14+F19+F24+F29</f>
        <v/>
      </c>
      <c r="E36" s="15" t="inlineStr">
        <is>
          <t>Total Remaining</t>
        </is>
      </c>
      <c r="F36" s="13">
        <f>D36-B36</f>
        <v/>
      </c>
      <c r="G36" s="15" t="inlineStr">
        <is>
          <t>Overall %</t>
        </is>
      </c>
      <c r="H36" s="50">
        <f>IFERROR(B36/D36,0)</f>
        <v/>
      </c>
    </row>
    <row r="37">
      <c r="A37" s="86">
        <f>REPT("█",ROUND((IFERROR(B36/D36,0))*20,0))&amp;REPT("░",20-ROUND((IFERROR(B36/D36,0))*20,0))&amp;" "&amp;TEXT(IFERROR(B36/D36,0),"0%")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29">
    <mergeCell ref="A4:D4"/>
    <mergeCell ref="A29:D29"/>
    <mergeCell ref="A11:H11"/>
    <mergeCell ref="A19:D19"/>
    <mergeCell ref="A1:H1"/>
    <mergeCell ref="A6:H6"/>
    <mergeCell ref="A9:D9"/>
    <mergeCell ref="A7:H7"/>
    <mergeCell ref="A16:H16"/>
    <mergeCell ref="F24:H24"/>
    <mergeCell ref="A24:D24"/>
    <mergeCell ref="F9:H9"/>
    <mergeCell ref="A37:H37"/>
    <mergeCell ref="A27:H27"/>
    <mergeCell ref="A12:H12"/>
    <mergeCell ref="A3:H3"/>
    <mergeCell ref="A21:H21"/>
    <mergeCell ref="A26:H26"/>
    <mergeCell ref="F14:H14"/>
    <mergeCell ref="A2:H2"/>
    <mergeCell ref="F4:H4"/>
    <mergeCell ref="A32:H32"/>
    <mergeCell ref="F29:H29"/>
    <mergeCell ref="A22:H22"/>
    <mergeCell ref="A17:H17"/>
    <mergeCell ref="F19:H19"/>
    <mergeCell ref="A35:H35"/>
    <mergeCell ref="A31:H31"/>
    <mergeCell ref="A14:D14"/>
  </mergeCells>
  <conditionalFormatting sqref="A4:H7">
    <cfRule type="expression" priority="1" dxfId="3" stopIfTrue="1">
      <formula>AND(F5&lt;TODAY(),B5&lt;F4)</formula>
    </cfRule>
    <cfRule type="expression" priority="2" dxfId="2" stopIfTrue="1">
      <formula>B5/F4&gt;=0.75</formula>
    </cfRule>
    <cfRule type="expression" priority="3" dxfId="4" stopIfTrue="1">
      <formula>AND(B5/F4&gt;=0.5,B5/F4&lt;0.75)</formula>
    </cfRule>
    <cfRule type="expression" priority="4" dxfId="6" stopIfTrue="1">
      <formula>B5/F4&lt;0.5</formula>
    </cfRule>
  </conditionalFormatting>
  <conditionalFormatting sqref="A9:H12">
    <cfRule type="expression" priority="5" dxfId="3" stopIfTrue="1">
      <formula>AND(F10&lt;TODAY(),B10&lt;F9)</formula>
    </cfRule>
    <cfRule type="expression" priority="6" dxfId="2" stopIfTrue="1">
      <formula>B10/F9&gt;=0.75</formula>
    </cfRule>
    <cfRule type="expression" priority="7" dxfId="4" stopIfTrue="1">
      <formula>AND(B10/F9&gt;=0.5,B10/F9&lt;0.75)</formula>
    </cfRule>
    <cfRule type="expression" priority="8" dxfId="6" stopIfTrue="1">
      <formula>B10/F9&lt;0.5</formula>
    </cfRule>
  </conditionalFormatting>
  <conditionalFormatting sqref="A14:H17">
    <cfRule type="expression" priority="9" dxfId="3" stopIfTrue="1">
      <formula>AND(F15&lt;TODAY(),B15&lt;F14)</formula>
    </cfRule>
    <cfRule type="expression" priority="10" dxfId="2" stopIfTrue="1">
      <formula>B15/F14&gt;=0.75</formula>
    </cfRule>
    <cfRule type="expression" priority="11" dxfId="4" stopIfTrue="1">
      <formula>AND(B15/F14&gt;=0.5,B15/F14&lt;0.75)</formula>
    </cfRule>
    <cfRule type="expression" priority="12" dxfId="6" stopIfTrue="1">
      <formula>B15/F14&lt;0.5</formula>
    </cfRule>
  </conditionalFormatting>
  <conditionalFormatting sqref="A19:H22">
    <cfRule type="expression" priority="13" dxfId="3" stopIfTrue="1">
      <formula>AND(F20&lt;TODAY(),B20&lt;F19)</formula>
    </cfRule>
    <cfRule type="expression" priority="14" dxfId="2" stopIfTrue="1">
      <formula>B20/F19&gt;=0.75</formula>
    </cfRule>
    <cfRule type="expression" priority="15" dxfId="4" stopIfTrue="1">
      <formula>AND(B20/F19&gt;=0.5,B20/F19&lt;0.75)</formula>
    </cfRule>
    <cfRule type="expression" priority="16" dxfId="6" stopIfTrue="1">
      <formula>B20/F19&lt;0.5</formula>
    </cfRule>
  </conditionalFormatting>
  <conditionalFormatting sqref="A24:H27">
    <cfRule type="expression" priority="17" dxfId="3" stopIfTrue="1">
      <formula>AND(F25&lt;TODAY(),B25&lt;F24)</formula>
    </cfRule>
    <cfRule type="expression" priority="18" dxfId="2" stopIfTrue="1">
      <formula>B25/F24&gt;=0.75</formula>
    </cfRule>
    <cfRule type="expression" priority="19" dxfId="4" stopIfTrue="1">
      <formula>AND(B25/F24&gt;=0.5,B25/F24&lt;0.75)</formula>
    </cfRule>
    <cfRule type="expression" priority="20" dxfId="6" stopIfTrue="1">
      <formula>B25/F24&lt;0.5</formula>
    </cfRule>
  </conditionalFormatting>
  <conditionalFormatting sqref="A29:H32">
    <cfRule type="expression" priority="21" dxfId="3" stopIfTrue="1">
      <formula>AND(F30&lt;TODAY(),B30&lt;F29)</formula>
    </cfRule>
    <cfRule type="expression" priority="22" dxfId="2" stopIfTrue="1">
      <formula>B30/F29&gt;=0.75</formula>
    </cfRule>
    <cfRule type="expression" priority="23" dxfId="4" stopIfTrue="1">
      <formula>AND(B30/F29&gt;=0.5,B30/F29&lt;0.75)</formula>
    </cfRule>
    <cfRule type="expression" priority="24" dxfId="6" stopIfTrue="1">
      <formula>B30/F29&lt;0.5</formula>
    </cfRule>
  </conditionalFormatting>
  <pageMargins left="0.75" right="0.75" top="1" bottom="1" header="0.5" footer="0.5"/>
  <pageSetup orientation="landscape" fitToHeight="0" fitToWidth="1"/>
  <headerFooter>
    <oddHeader>&amp;CUltimate Budget Planner | Savings Goals | Page &amp;P</oddHeader>
    <oddFooter>&amp;CGenerated with Budget Planner Pro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C9184A"/>
    <outlinePr summaryBelow="1" summaryRight="1"/>
  </sheetPr>
  <dimension ref="A1:N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0" customWidth="1" min="5" max="5"/>
    <col width="13" customWidth="1" min="6" max="6"/>
    <col width="12" customWidth="1" min="7" max="7"/>
    <col width="13" customWidth="1" min="8" max="8"/>
    <col width="13" customWidth="1" min="9" max="9"/>
    <col width="14" customWidth="1" min="10" max="10"/>
    <col width="14" customWidth="1" min="11" max="11"/>
    <col width="10" customWidth="1" min="12" max="12"/>
    <col width="24" customWidth="1" min="13" max="13"/>
    <col hidden="1" width="14" customWidth="1" min="14" max="14"/>
  </cols>
  <sheetData>
    <row r="1" ht="40" customHeight="1">
      <c r="A1" s="2" t="inlineStr">
        <is>
          <t>💳 Debt Tracker</t>
        </is>
      </c>
    </row>
    <row r="2" ht="30" customHeight="1">
      <c r="A2" s="78" t="inlineStr">
        <is>
          <t>List every debt you're paying down. Enter balances, rates, and payments in the yellow cells — payoff dates, progress bars, and payoff strategies update automatically.</t>
        </is>
      </c>
    </row>
    <row r="3">
      <c r="A3" s="1" t="inlineStr">
        <is>
          <t>Debt Name</t>
        </is>
      </c>
      <c r="B3" s="1" t="inlineStr">
        <is>
          <t>Debt Type</t>
        </is>
      </c>
      <c r="C3" s="1" t="inlineStr">
        <is>
          <t>Starting Balance</t>
        </is>
      </c>
      <c r="D3" s="1" t="inlineStr">
        <is>
          <t>Current Balance</t>
        </is>
      </c>
      <c r="E3" s="1" t="inlineStr">
        <is>
          <t>Interest Rate</t>
        </is>
      </c>
      <c r="F3" s="1" t="inlineStr">
        <is>
          <t>Min. Payment</t>
        </is>
      </c>
      <c r="G3" s="1" t="inlineStr">
        <is>
          <t>Extra Payment</t>
        </is>
      </c>
      <c r="H3" s="1" t="inlineStr">
        <is>
          <t>Total Payment</t>
        </is>
      </c>
      <c r="I3" s="1" t="inlineStr">
        <is>
          <t>Monthly Interest</t>
        </is>
      </c>
      <c r="J3" s="1" t="inlineStr">
        <is>
          <t>Principal Paid</t>
        </is>
      </c>
      <c r="K3" s="1" t="inlineStr">
        <is>
          <t>Est. Payoff Date</t>
        </is>
      </c>
      <c r="L3" s="1" t="inlineStr">
        <is>
          <t>Progress %</t>
        </is>
      </c>
      <c r="M3" s="1" t="inlineStr">
        <is>
          <t>Progress</t>
        </is>
      </c>
      <c r="N3" s="1" t="inlineStr">
        <is>
          <t>Payoff Date (raw)</t>
        </is>
      </c>
    </row>
    <row r="4">
      <c r="A4" s="22" t="inlineStr">
        <is>
          <t>Credit Card A</t>
        </is>
      </c>
      <c r="B4" s="22" t="inlineStr">
        <is>
          <t>Credit Card</t>
        </is>
      </c>
      <c r="C4" s="24" t="n">
        <v>8000</v>
      </c>
      <c r="D4" s="24" t="n">
        <v>5400</v>
      </c>
      <c r="E4" s="87" t="n">
        <v>0.2299</v>
      </c>
      <c r="F4" s="24" t="n">
        <v>150</v>
      </c>
      <c r="G4" s="24" t="n">
        <v>100</v>
      </c>
      <c r="H4" s="10">
        <f>F4+G4</f>
        <v/>
      </c>
      <c r="I4" s="10">
        <f>D4*(E4/12)</f>
        <v/>
      </c>
      <c r="J4" s="10">
        <f>H4-I4</f>
        <v/>
      </c>
      <c r="K4" s="9">
        <f>IF(D4&lt;=0,"✅ Paid Off!",IF(J4&lt;=0,"⚠️ Add extra payment",TEXT(N4,"YYYY-MM-DD")))</f>
        <v/>
      </c>
      <c r="L4" s="46">
        <f>IFERROR((C4-D4)/C4,0)</f>
        <v/>
      </c>
      <c r="M4" s="11">
        <f>REPT("█",ROUND((IFERROR((C4-D4)/C4,0))*20,0))&amp;REPT("░",20-ROUND((IFERROR((C4-D4)/C4,0))*20,0))&amp;" "&amp;TEXT(IFERROR((C4-D4)/C4,0),"0%")</f>
        <v/>
      </c>
      <c r="N4" s="18">
        <f>IF(D4&lt;=0,TODAY(),IF(J4&lt;=0,DATE(2099,12,31),EDATE(TODAY(),ROUND(D4/J4,0))))</f>
        <v/>
      </c>
    </row>
    <row r="5">
      <c r="A5" s="48" t="inlineStr">
        <is>
          <t>Car Loan</t>
        </is>
      </c>
      <c r="B5" s="48" t="inlineStr">
        <is>
          <t>Car Loan</t>
        </is>
      </c>
      <c r="C5" s="49" t="n">
        <v>22000</v>
      </c>
      <c r="D5" s="49" t="n">
        <v>14500</v>
      </c>
      <c r="E5" s="88" t="n">
        <v>0.06900000000000001</v>
      </c>
      <c r="F5" s="49" t="n">
        <v>380</v>
      </c>
      <c r="G5" s="49" t="n">
        <v>0</v>
      </c>
      <c r="H5" s="13">
        <f>F5+G5</f>
        <v/>
      </c>
      <c r="I5" s="13">
        <f>D5*(E5/12)</f>
        <v/>
      </c>
      <c r="J5" s="13">
        <f>H5-I5</f>
        <v/>
      </c>
      <c r="K5" s="12">
        <f>IF(D5&lt;=0,"✅ Paid Off!",IF(J5&lt;=0,"⚠️ Add extra payment",TEXT(N5,"YYYY-MM-DD")))</f>
        <v/>
      </c>
      <c r="L5" s="50">
        <f>IFERROR((C5-D5)/C5,0)</f>
        <v/>
      </c>
      <c r="M5" s="14">
        <f>REPT("█",ROUND((IFERROR((C5-D5)/C5,0))*20,0))&amp;REPT("░",20-ROUND((IFERROR((C5-D5)/C5,0))*20,0))&amp;" "&amp;TEXT(IFERROR((C5-D5)/C5,0),"0%")</f>
        <v/>
      </c>
      <c r="N5" s="19">
        <f>IF(D5&lt;=0,TODAY(),IF(J5&lt;=0,DATE(2099,12,31),EDATE(TODAY(),ROUND(D5/J5,0))))</f>
        <v/>
      </c>
    </row>
    <row r="6">
      <c r="A6" s="22" t="inlineStr">
        <is>
          <t>Student Loan</t>
        </is>
      </c>
      <c r="B6" s="22" t="inlineStr">
        <is>
          <t>Student Loan</t>
        </is>
      </c>
      <c r="C6" s="24" t="n">
        <v>30000</v>
      </c>
      <c r="D6" s="24" t="n">
        <v>24800</v>
      </c>
      <c r="E6" s="87" t="n">
        <v>0.05</v>
      </c>
      <c r="F6" s="24" t="n">
        <v>320</v>
      </c>
      <c r="G6" s="24" t="n">
        <v>0</v>
      </c>
      <c r="H6" s="10">
        <f>F6+G6</f>
        <v/>
      </c>
      <c r="I6" s="10">
        <f>D6*(E6/12)</f>
        <v/>
      </c>
      <c r="J6" s="10">
        <f>H6-I6</f>
        <v/>
      </c>
      <c r="K6" s="9">
        <f>IF(D6&lt;=0,"✅ Paid Off!",IF(J6&lt;=0,"⚠️ Add extra payment",TEXT(N6,"YYYY-MM-DD")))</f>
        <v/>
      </c>
      <c r="L6" s="46">
        <f>IFERROR((C6-D6)/C6,0)</f>
        <v/>
      </c>
      <c r="M6" s="11">
        <f>REPT("█",ROUND((IFERROR((C6-D6)/C6,0))*20,0))&amp;REPT("░",20-ROUND((IFERROR((C6-D6)/C6,0))*20,0))&amp;" "&amp;TEXT(IFERROR((C6-D6)/C6,0),"0%")</f>
        <v/>
      </c>
      <c r="N6" s="18">
        <f>IF(D6&lt;=0,TODAY(),IF(J6&lt;=0,DATE(2099,12,31),EDATE(TODAY(),ROUND(D6/J6,0))))</f>
        <v/>
      </c>
    </row>
    <row r="7">
      <c r="A7" s="48" t="inlineStr">
        <is>
          <t>Personal Loan</t>
        </is>
      </c>
      <c r="B7" s="48" t="inlineStr">
        <is>
          <t>Personal Loan</t>
        </is>
      </c>
      <c r="C7" s="49" t="n">
        <v>6000</v>
      </c>
      <c r="D7" s="49" t="n">
        <v>3100</v>
      </c>
      <c r="E7" s="88" t="n">
        <v>0.12</v>
      </c>
      <c r="F7" s="49" t="n">
        <v>180</v>
      </c>
      <c r="G7" s="49" t="n">
        <v>50</v>
      </c>
      <c r="H7" s="13">
        <f>F7+G7</f>
        <v/>
      </c>
      <c r="I7" s="13">
        <f>D7*(E7/12)</f>
        <v/>
      </c>
      <c r="J7" s="13">
        <f>H7-I7</f>
        <v/>
      </c>
      <c r="K7" s="12">
        <f>IF(D7&lt;=0,"✅ Paid Off!",IF(J7&lt;=0,"⚠️ Add extra payment",TEXT(N7,"YYYY-MM-DD")))</f>
        <v/>
      </c>
      <c r="L7" s="50">
        <f>IFERROR((C7-D7)/C7,0)</f>
        <v/>
      </c>
      <c r="M7" s="14">
        <f>REPT("█",ROUND((IFERROR((C7-D7)/C7,0))*20,0))&amp;REPT("░",20-ROUND((IFERROR((C7-D7)/C7,0))*20,0))&amp;" "&amp;TEXT(IFERROR((C7-D7)/C7,0),"0%")</f>
        <v/>
      </c>
      <c r="N7" s="19">
        <f>IF(D7&lt;=0,TODAY(),IF(J7&lt;=0,DATE(2099,12,31),EDATE(TODAY(),ROUND(D7/J7,0))))</f>
        <v/>
      </c>
    </row>
    <row r="9">
      <c r="A9" s="4" t="inlineStr">
        <is>
          <t>📊 DEBT SUMMARY</t>
        </is>
      </c>
    </row>
    <row r="10" ht="30" customHeight="1">
      <c r="A10" s="89" t="inlineStr">
        <is>
          <t>Total Debt</t>
        </is>
      </c>
      <c r="B10" s="13">
        <f>SUM(D4:D7)</f>
        <v/>
      </c>
      <c r="C10" s="89" t="inlineStr">
        <is>
          <t>Total Min. Payments</t>
        </is>
      </c>
      <c r="D10" s="13">
        <f>SUM(F4:F7)</f>
        <v/>
      </c>
      <c r="E10" s="89" t="inlineStr">
        <is>
          <t>Total Monthly Payment</t>
        </is>
      </c>
      <c r="F10" s="13">
        <f>SUM(H4:H7)</f>
        <v/>
      </c>
      <c r="G10" s="89" t="inlineStr">
        <is>
          <t>Total Monthly Interest</t>
        </is>
      </c>
      <c r="H10" s="13">
        <f>SUM(I4:I7)</f>
        <v/>
      </c>
      <c r="I10" s="89" t="inlineStr">
        <is>
          <t>Debt-Free Date</t>
        </is>
      </c>
      <c r="J10" s="12">
        <f>TEXT(MAX(N4:N7),"YYYY-MM-DD")</f>
        <v/>
      </c>
      <c r="K10" s="89" t="inlineStr">
        <is>
          <t>Avg. Interest Rate</t>
        </is>
      </c>
      <c r="L10" s="50">
        <f>AVERAGE(E4:E7)</f>
        <v/>
      </c>
      <c r="M10" s="12" t="n"/>
      <c r="N10" s="12" t="n"/>
    </row>
    <row r="12">
      <c r="A12" s="4" t="inlineStr">
        <is>
          <t>🏔️ AVALANCHE METHOD — Highest Interest First</t>
        </is>
      </c>
      <c r="H12" s="4" t="inlineStr">
        <is>
          <t>⚪ SNOWBALL METHOD — Smallest Balance First</t>
        </is>
      </c>
    </row>
    <row r="13">
      <c r="A13" s="1" t="inlineStr">
        <is>
          <t>Rank</t>
        </is>
      </c>
      <c r="B13" s="1" t="inlineStr">
        <is>
          <t>Debt Name</t>
        </is>
      </c>
      <c r="C13" s="1" t="inlineStr">
        <is>
          <t>Current Balance</t>
        </is>
      </c>
      <c r="D13" s="1" t="inlineStr">
        <is>
          <t>Interest Rate</t>
        </is>
      </c>
      <c r="H13" s="1" t="inlineStr">
        <is>
          <t>Rank</t>
        </is>
      </c>
      <c r="I13" s="1" t="inlineStr">
        <is>
          <t>Debt Name</t>
        </is>
      </c>
      <c r="J13" s="1" t="inlineStr">
        <is>
          <t>Current Balance</t>
        </is>
      </c>
      <c r="K13" s="1" t="inlineStr">
        <is>
          <t>Monthly Payment</t>
        </is>
      </c>
    </row>
    <row r="14">
      <c r="A14" s="74" t="n">
        <v>1</v>
      </c>
      <c r="B14" s="9">
        <f>IFERROR(INDEX($A$4:$A$7,MATCH(D14,$E$4:$E$7,0)),"")</f>
        <v/>
      </c>
      <c r="C14" s="10">
        <f>IFERROR(INDEX($D$4:$D$7,MATCH(D14,$E$4:$E$7,0)),"")</f>
        <v/>
      </c>
      <c r="D14" s="90">
        <f>LARGE($E$4:$E$7,1)</f>
        <v/>
      </c>
      <c r="H14" s="74" t="n">
        <v>1</v>
      </c>
      <c r="I14" s="9">
        <f>IFERROR(INDEX($A$4:$A$7,MATCH(J14,$D$4:$D$7,0)),"")</f>
        <v/>
      </c>
      <c r="J14" s="10">
        <f>SMALL($D$4:$D$7,1)</f>
        <v/>
      </c>
      <c r="K14" s="10">
        <f>IFERROR(INDEX($H$4:$H$7,MATCH(J14,$D$4:$D$7,0)),"")</f>
        <v/>
      </c>
    </row>
    <row r="15">
      <c r="A15" s="75" t="n">
        <v>2</v>
      </c>
      <c r="B15" s="12">
        <f>IFERROR(INDEX($A$4:$A$7,MATCH(D15,$E$4:$E$7,0)),"")</f>
        <v/>
      </c>
      <c r="C15" s="13">
        <f>IFERROR(INDEX($D$4:$D$7,MATCH(D15,$E$4:$E$7,0)),"")</f>
        <v/>
      </c>
      <c r="D15" s="91">
        <f>LARGE($E$4:$E$7,2)</f>
        <v/>
      </c>
      <c r="H15" s="75" t="n">
        <v>2</v>
      </c>
      <c r="I15" s="12">
        <f>IFERROR(INDEX($A$4:$A$7,MATCH(J15,$D$4:$D$7,0)),"")</f>
        <v/>
      </c>
      <c r="J15" s="13">
        <f>SMALL($D$4:$D$7,2)</f>
        <v/>
      </c>
      <c r="K15" s="13">
        <f>IFERROR(INDEX($H$4:$H$7,MATCH(J15,$D$4:$D$7,0)),"")</f>
        <v/>
      </c>
    </row>
    <row r="16">
      <c r="A16" s="74" t="n">
        <v>3</v>
      </c>
      <c r="B16" s="9">
        <f>IFERROR(INDEX($A$4:$A$7,MATCH(D16,$E$4:$E$7,0)),"")</f>
        <v/>
      </c>
      <c r="C16" s="10">
        <f>IFERROR(INDEX($D$4:$D$7,MATCH(D16,$E$4:$E$7,0)),"")</f>
        <v/>
      </c>
      <c r="D16" s="90">
        <f>LARGE($E$4:$E$7,3)</f>
        <v/>
      </c>
      <c r="H16" s="74" t="n">
        <v>3</v>
      </c>
      <c r="I16" s="9">
        <f>IFERROR(INDEX($A$4:$A$7,MATCH(J16,$D$4:$D$7,0)),"")</f>
        <v/>
      </c>
      <c r="J16" s="10">
        <f>SMALL($D$4:$D$7,3)</f>
        <v/>
      </c>
      <c r="K16" s="10">
        <f>IFERROR(INDEX($H$4:$H$7,MATCH(J16,$D$4:$D$7,0)),"")</f>
        <v/>
      </c>
    </row>
    <row r="17">
      <c r="A17" s="75" t="n">
        <v>4</v>
      </c>
      <c r="B17" s="12">
        <f>IFERROR(INDEX($A$4:$A$7,MATCH(D17,$E$4:$E$7,0)),"")</f>
        <v/>
      </c>
      <c r="C17" s="13">
        <f>IFERROR(INDEX($D$4:$D$7,MATCH(D17,$E$4:$E$7,0)),"")</f>
        <v/>
      </c>
      <c r="D17" s="91">
        <f>LARGE($E$4:$E$7,4)</f>
        <v/>
      </c>
      <c r="H17" s="75" t="n">
        <v>4</v>
      </c>
      <c r="I17" s="12">
        <f>IFERROR(INDEX($A$4:$A$7,MATCH(J17,$D$4:$D$7,0)),"")</f>
        <v/>
      </c>
      <c r="J17" s="13">
        <f>SMALL($D$4:$D$7,4)</f>
        <v/>
      </c>
      <c r="K17" s="13">
        <f>IFERROR(INDEX($H$4:$H$7,MATCH(J17,$D$4:$D$7,0)),"")</f>
        <v/>
      </c>
    </row>
    <row r="19" ht="30" customHeight="1">
      <c r="A19" s="78" t="inlineStr">
        <is>
          <t>💡 Avalanche saves the most money on interest over time. Snowball builds momentum with quick wins. Either way: keep paying the minimum on every debt, and put every extra dollar toward the #1 debt in your chosen method.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6">
    <mergeCell ref="A9:N9"/>
    <mergeCell ref="A12:D12"/>
    <mergeCell ref="A2:N2"/>
    <mergeCell ref="H12:K12"/>
    <mergeCell ref="A19:N19"/>
    <mergeCell ref="A1:N1"/>
  </mergeCells>
  <conditionalFormatting sqref="A4:M7">
    <cfRule type="expression" priority="1" dxfId="2">
      <formula>$D4&lt;=0</formula>
    </cfRule>
  </conditionalFormatting>
  <conditionalFormatting sqref="E4:E7">
    <cfRule type="cellIs" priority="2" operator="greaterThan" dxfId="10">
      <formula>0.2</formula>
    </cfRule>
  </conditionalFormatting>
  <dataValidations count="1">
    <dataValidation sqref="B4:B7" showDropDown="0" showInputMessage="0" showErrorMessage="0" allowBlank="1" type="list">
      <formula1>=DEBT_TYPES</formula1>
    </dataValidation>
  </dataValidations>
  <pageMargins left="0.75" right="0.75" top="1" bottom="1" header="0.5" footer="0.5"/>
  <pageSetup orientation="landscape" fitToHeight="0" fitToWidth="1"/>
  <headerFooter>
    <oddHeader>&amp;CUltimate Budget Planner | Debt Tracker | Page &amp;P</oddHeader>
    <oddFooter>&amp;CGenerated with Budget Planner Pro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40A5C9"/>
    <outlinePr summaryBelow="1" summaryRight="1"/>
  </sheetPr>
  <dimension ref="A1:I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1" customWidth="1" min="7" max="7"/>
    <col width="24" customWidth="1" min="8" max="8"/>
    <col width="14" customWidth="1" min="9" max="9"/>
  </cols>
  <sheetData>
    <row r="1" ht="40" customHeight="1">
      <c r="A1" s="2" t="inlineStr">
        <is>
          <t>🫙 Sinking Funds</t>
        </is>
      </c>
    </row>
    <row r="2" ht="30" customHeight="1">
      <c r="A2" s="78" t="inlineStr">
        <is>
          <t>Sinking funds are savings set aside for known upcoming expenses (car repairs, holiday gifts, annual bills). Enter your annual target and current balance for each fund — the rest updates automatically.</t>
        </is>
      </c>
    </row>
    <row r="3">
      <c r="A3" s="1" t="inlineStr">
        <is>
          <t>Fund Name</t>
        </is>
      </c>
      <c r="B3" s="1" t="inlineStr">
        <is>
          <t>Category</t>
        </is>
      </c>
      <c r="C3" s="1" t="inlineStr">
        <is>
          <t>Annual Target</t>
        </is>
      </c>
      <c r="D3" s="1" t="inlineStr">
        <is>
          <t>Current Balance</t>
        </is>
      </c>
      <c r="E3" s="1" t="inlineStr">
        <is>
          <t>Suggested Monthly</t>
        </is>
      </c>
      <c r="F3" s="1" t="inlineStr">
        <is>
          <t>Remaining</t>
        </is>
      </c>
      <c r="G3" s="1" t="inlineStr">
        <is>
          <t>% Funded</t>
        </is>
      </c>
      <c r="H3" s="1" t="inlineStr">
        <is>
          <t>Progress</t>
        </is>
      </c>
      <c r="I3" s="1" t="inlineStr">
        <is>
          <t>Next Use Date</t>
        </is>
      </c>
    </row>
    <row r="4">
      <c r="A4" s="22" t="inlineStr">
        <is>
          <t>Car Maintenance</t>
        </is>
      </c>
      <c r="B4" s="22" t="inlineStr">
        <is>
          <t>Auto</t>
        </is>
      </c>
      <c r="C4" s="24" t="n">
        <v>1200</v>
      </c>
      <c r="D4" s="24" t="n">
        <v>450</v>
      </c>
      <c r="E4" s="10">
        <f>ROUND(C4/12,2)</f>
        <v/>
      </c>
      <c r="F4" s="10">
        <f>C4-D4</f>
        <v/>
      </c>
      <c r="G4" s="46">
        <f>IFERROR(D4/C4,0)</f>
        <v/>
      </c>
      <c r="H4" s="11">
        <f>REPT("█",ROUND((IFERROR(MIN(D4/C4,1),0))*20,0))&amp;REPT("░",20-ROUND((IFERROR(MIN(D4/C4,1),0))*20,0))&amp;" "&amp;TEXT(IFERROR(MIN(D4/C4,1),0),"0%")</f>
        <v/>
      </c>
      <c r="I4" s="83" t="n">
        <v>46387</v>
      </c>
    </row>
    <row r="5">
      <c r="A5" s="48" t="inlineStr">
        <is>
          <t>Holiday Gifts</t>
        </is>
      </c>
      <c r="B5" s="48" t="inlineStr">
        <is>
          <t>Personal</t>
        </is>
      </c>
      <c r="C5" s="49" t="n">
        <v>800</v>
      </c>
      <c r="D5" s="49" t="n">
        <v>800</v>
      </c>
      <c r="E5" s="13">
        <f>ROUND(C5/12,2)</f>
        <v/>
      </c>
      <c r="F5" s="13">
        <f>C5-D5</f>
        <v/>
      </c>
      <c r="G5" s="50">
        <f>IFERROR(D5/C5,0)</f>
        <v/>
      </c>
      <c r="H5" s="14">
        <f>REPT("█",ROUND((IFERROR(MIN(D5/C5,1),0))*20,0))&amp;REPT("░",20-ROUND((IFERROR(MIN(D5/C5,1),0))*20,0))&amp;" "&amp;TEXT(IFERROR(MIN(D5/C5,1),0),"0%")</f>
        <v/>
      </c>
      <c r="I5" s="47" t="n">
        <v>46381</v>
      </c>
    </row>
    <row r="6">
      <c r="A6" s="22" t="inlineStr">
        <is>
          <t>Property Taxes</t>
        </is>
      </c>
      <c r="B6" s="22" t="inlineStr">
        <is>
          <t>Home</t>
        </is>
      </c>
      <c r="C6" s="24" t="n">
        <v>2400</v>
      </c>
      <c r="D6" s="24" t="n">
        <v>600</v>
      </c>
      <c r="E6" s="10">
        <f>ROUND(C6/12,2)</f>
        <v/>
      </c>
      <c r="F6" s="10">
        <f>C6-D6</f>
        <v/>
      </c>
      <c r="G6" s="46">
        <f>IFERROR(D6/C6,0)</f>
        <v/>
      </c>
      <c r="H6" s="11">
        <f>REPT("█",ROUND((IFERROR(MIN(D6/C6,1),0))*20,0))&amp;REPT("░",20-ROUND((IFERROR(MIN(D6/C6,1),0))*20,0))&amp;" "&amp;TEXT(IFERROR(MIN(D6/C6,1),0),"0%")</f>
        <v/>
      </c>
      <c r="I6" s="83" t="n">
        <v>46487</v>
      </c>
    </row>
    <row r="7">
      <c r="A7" s="48" t="inlineStr">
        <is>
          <t>Annual Subscriptions</t>
        </is>
      </c>
      <c r="B7" s="48" t="inlineStr">
        <is>
          <t>Subscriptions</t>
        </is>
      </c>
      <c r="C7" s="49" t="n">
        <v>300</v>
      </c>
      <c r="D7" s="49" t="n">
        <v>300</v>
      </c>
      <c r="E7" s="13">
        <f>ROUND(C7/12,2)</f>
        <v/>
      </c>
      <c r="F7" s="13">
        <f>C7-D7</f>
        <v/>
      </c>
      <c r="G7" s="50">
        <f>IFERROR(D7/C7,0)</f>
        <v/>
      </c>
      <c r="H7" s="14">
        <f>REPT("█",ROUND((IFERROR(MIN(D7/C7,1),0))*20,0))&amp;REPT("░",20-ROUND((IFERROR(MIN(D7/C7,1),0))*20,0))&amp;" "&amp;TEXT(IFERROR(MIN(D7/C7,1),0),"0%")</f>
        <v/>
      </c>
      <c r="I7" s="47" t="n">
        <v>46247</v>
      </c>
    </row>
    <row r="8">
      <c r="A8" s="22" t="inlineStr">
        <is>
          <t>Home Maintenance</t>
        </is>
      </c>
      <c r="B8" s="22" t="inlineStr">
        <is>
          <t>Home</t>
        </is>
      </c>
      <c r="C8" s="24" t="n">
        <v>1500</v>
      </c>
      <c r="D8" s="24" t="n">
        <v>375</v>
      </c>
      <c r="E8" s="10">
        <f>ROUND(C8/12,2)</f>
        <v/>
      </c>
      <c r="F8" s="10">
        <f>C8-D8</f>
        <v/>
      </c>
      <c r="G8" s="46">
        <f>IFERROR(D8/C8,0)</f>
        <v/>
      </c>
      <c r="H8" s="11">
        <f>REPT("█",ROUND((IFERROR(MIN(D8/C8,1),0))*20,0))&amp;REPT("░",20-ROUND((IFERROR(MIN(D8/C8,1),0))*20,0))&amp;" "&amp;TEXT(IFERROR(MIN(D8/C8,1),0),"0%")</f>
        <v/>
      </c>
      <c r="I8" s="83" t="n">
        <v>46367</v>
      </c>
    </row>
    <row r="9">
      <c r="A9" s="48" t="inlineStr">
        <is>
          <t>Medical / Dental</t>
        </is>
      </c>
      <c r="B9" s="48" t="inlineStr">
        <is>
          <t>Health</t>
        </is>
      </c>
      <c r="C9" s="49" t="n">
        <v>1000</v>
      </c>
      <c r="D9" s="49" t="n">
        <v>250</v>
      </c>
      <c r="E9" s="13">
        <f>ROUND(C9/12,2)</f>
        <v/>
      </c>
      <c r="F9" s="13">
        <f>C9-D9</f>
        <v/>
      </c>
      <c r="G9" s="50">
        <f>IFERROR(D9/C9,0)</f>
        <v/>
      </c>
      <c r="H9" s="14">
        <f>REPT("█",ROUND((IFERROR(MIN(D9/C9,1),0))*20,0))&amp;REPT("░",20-ROUND((IFERROR(MIN(D9/C9,1),0))*20,0))&amp;" "&amp;TEXT(IFERROR(MIN(D9/C9,1),0),"0%")</f>
        <v/>
      </c>
      <c r="I9" s="47" t="n">
        <v>46337</v>
      </c>
    </row>
    <row r="10">
      <c r="A10" s="22" t="inlineStr">
        <is>
          <t>Car Registration</t>
        </is>
      </c>
      <c r="B10" s="22" t="inlineStr">
        <is>
          <t>Auto</t>
        </is>
      </c>
      <c r="C10" s="24" t="n">
        <v>200</v>
      </c>
      <c r="D10" s="24" t="n">
        <v>200</v>
      </c>
      <c r="E10" s="10">
        <f>ROUND(C10/12,2)</f>
        <v/>
      </c>
      <c r="F10" s="10">
        <f>C10-D10</f>
        <v/>
      </c>
      <c r="G10" s="46">
        <f>IFERROR(D10/C10,0)</f>
        <v/>
      </c>
      <c r="H10" s="11">
        <f>REPT("█",ROUND((IFERROR(MIN(D10/C10,1),0))*20,0))&amp;REPT("░",20-ROUND((IFERROR(MIN(D10/C10,1),0))*20,0))&amp;" "&amp;TEXT(IFERROR(MIN(D10/C10,1),0),"0%")</f>
        <v/>
      </c>
      <c r="I10" s="83" t="n">
        <v>46247</v>
      </c>
    </row>
    <row r="11">
      <c r="A11" s="48" t="inlineStr">
        <is>
          <t>Birthday Gifts</t>
        </is>
      </c>
      <c r="B11" s="48" t="inlineStr">
        <is>
          <t>Personal</t>
        </is>
      </c>
      <c r="C11" s="49" t="n">
        <v>400</v>
      </c>
      <c r="D11" s="49" t="n">
        <v>100</v>
      </c>
      <c r="E11" s="13">
        <f>ROUND(C11/12,2)</f>
        <v/>
      </c>
      <c r="F11" s="13">
        <f>C11-D11</f>
        <v/>
      </c>
      <c r="G11" s="50">
        <f>IFERROR(D11/C11,0)</f>
        <v/>
      </c>
      <c r="H11" s="14">
        <f>REPT("█",ROUND((IFERROR(MIN(D11/C11,1),0))*20,0))&amp;REPT("░",20-ROUND((IFERROR(MIN(D11/C11,1),0))*20,0))&amp;" "&amp;TEXT(IFERROR(MIN(D11/C11,1),0),"0%")</f>
        <v/>
      </c>
      <c r="I11" s="47" t="n">
        <v>46277</v>
      </c>
    </row>
    <row r="12">
      <c r="A12" s="22" t="inlineStr">
        <is>
          <t>Pet Care</t>
        </is>
      </c>
      <c r="B12" s="22" t="inlineStr">
        <is>
          <t>Pets</t>
        </is>
      </c>
      <c r="C12" s="24" t="n">
        <v>600</v>
      </c>
      <c r="D12" s="24" t="n">
        <v>300</v>
      </c>
      <c r="E12" s="10">
        <f>ROUND(C12/12,2)</f>
        <v/>
      </c>
      <c r="F12" s="10">
        <f>C12-D12</f>
        <v/>
      </c>
      <c r="G12" s="46">
        <f>IFERROR(D12/C12,0)</f>
        <v/>
      </c>
      <c r="H12" s="11">
        <f>REPT("█",ROUND((IFERROR(MIN(D12/C12,1),0))*20,0))&amp;REPT("░",20-ROUND((IFERROR(MIN(D12/C12,1),0))*20,0))&amp;" "&amp;TEXT(IFERROR(MIN(D12/C12,1),0),"0%")</f>
        <v/>
      </c>
      <c r="I12" s="83" t="n">
        <v>46307</v>
      </c>
    </row>
    <row r="13">
      <c r="A13" s="48" t="inlineStr">
        <is>
          <t>Clothing</t>
        </is>
      </c>
      <c r="B13" s="48" t="inlineStr">
        <is>
          <t>Personal</t>
        </is>
      </c>
      <c r="C13" s="49" t="n">
        <v>600</v>
      </c>
      <c r="D13" s="49" t="n">
        <v>150</v>
      </c>
      <c r="E13" s="13">
        <f>ROUND(C13/12,2)</f>
        <v/>
      </c>
      <c r="F13" s="13">
        <f>C13-D13</f>
        <v/>
      </c>
      <c r="G13" s="50">
        <f>IFERROR(D13/C13,0)</f>
        <v/>
      </c>
      <c r="H13" s="14">
        <f>REPT("█",ROUND((IFERROR(MIN(D13/C13,1),0))*20,0))&amp;REPT("░",20-ROUND((IFERROR(MIN(D13/C13,1),0))*20,0))&amp;" "&amp;TEXT(IFERROR(MIN(D13/C13,1),0),"0%")</f>
        <v/>
      </c>
      <c r="I13" s="47" t="n">
        <v>46387</v>
      </c>
    </row>
    <row r="14">
      <c r="A14" s="22" t="inlineStr">
        <is>
          <t>Electronics / Tech</t>
        </is>
      </c>
      <c r="B14" s="22" t="inlineStr">
        <is>
          <t>Personal</t>
        </is>
      </c>
      <c r="C14" s="24" t="n">
        <v>500</v>
      </c>
      <c r="D14" s="24" t="n">
        <v>500</v>
      </c>
      <c r="E14" s="10">
        <f>ROUND(C14/12,2)</f>
        <v/>
      </c>
      <c r="F14" s="10">
        <f>C14-D14</f>
        <v/>
      </c>
      <c r="G14" s="46">
        <f>IFERROR(D14/C14,0)</f>
        <v/>
      </c>
      <c r="H14" s="11">
        <f>REPT("█",ROUND((IFERROR(MIN(D14/C14,1),0))*20,0))&amp;REPT("░",20-ROUND((IFERROR(MIN(D14/C14,1),0))*20,0))&amp;" "&amp;TEXT(IFERROR(MIN(D14/C14,1),0),"0%")</f>
        <v/>
      </c>
      <c r="I14" s="83" t="n">
        <v>46437</v>
      </c>
    </row>
    <row r="15">
      <c r="A15" s="48" t="inlineStr">
        <is>
          <t>Travel Fund</t>
        </is>
      </c>
      <c r="B15" s="48" t="inlineStr">
        <is>
          <t>Travel</t>
        </is>
      </c>
      <c r="C15" s="49" t="n">
        <v>2000</v>
      </c>
      <c r="D15" s="49" t="n">
        <v>800</v>
      </c>
      <c r="E15" s="13">
        <f>ROUND(C15/12,2)</f>
        <v/>
      </c>
      <c r="F15" s="13">
        <f>C15-D15</f>
        <v/>
      </c>
      <c r="G15" s="50">
        <f>IFERROR(D15/C15,0)</f>
        <v/>
      </c>
      <c r="H15" s="14">
        <f>REPT("█",ROUND((IFERROR(MIN(D15/C15,1),0))*20,0))&amp;REPT("░",20-ROUND((IFERROR(MIN(D15/C15,1),0))*20,0))&amp;" "&amp;TEXT(IFERROR(MIN(D15/C15,1),0),"0%")</f>
        <v/>
      </c>
      <c r="I15" s="47" t="n">
        <v>46367</v>
      </c>
    </row>
    <row r="17">
      <c r="A17" s="92" t="inlineStr">
        <is>
          <t>TOTAL</t>
        </is>
      </c>
      <c r="B17" s="12" t="n"/>
      <c r="C17" s="16">
        <f>SUM(C4:C15)</f>
        <v/>
      </c>
      <c r="D17" s="16">
        <f>SUM(D4:D15)</f>
        <v/>
      </c>
      <c r="E17" s="16">
        <f>SUM(E4:E15)</f>
        <v/>
      </c>
      <c r="F17" s="16">
        <f>SUM(F4:F15)</f>
        <v/>
      </c>
      <c r="G17" s="93">
        <f>IFERROR(D17/C17,0)</f>
        <v/>
      </c>
      <c r="H17" s="17">
        <f>REPT("█",ROUND((IFERROR(D17/C17,0))*20,0))&amp;REPT("░",20-ROUND((IFERROR(D17/C17,0))*20,0))&amp;" "&amp;TEXT(IFERROR(D17/C17,0),"0%")</f>
        <v/>
      </c>
      <c r="I17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2">
    <mergeCell ref="A1:I1"/>
    <mergeCell ref="A2:I2"/>
  </mergeCells>
  <conditionalFormatting sqref="G4:G15">
    <cfRule type="cellIs" priority="1" operator="greaterThanOrEqual" dxfId="2">
      <formula>1</formula>
    </cfRule>
    <cfRule type="cellIs" priority="2" operator="between" dxfId="4">
      <formula>0.5</formula>
      <formula>0.999999</formula>
    </cfRule>
    <cfRule type="cellIs" priority="3" operator="lessThan" dxfId="6">
      <formula>0.5</formula>
    </cfRule>
  </conditionalFormatting>
  <pageMargins left="0.75" right="0.75" top="1" bottom="1" header="0.5" footer="0.5"/>
  <pageSetup orientation="landscape" fitToHeight="0" fitToWidth="1"/>
  <headerFooter>
    <oddHeader>&amp;CUltimate Budget Planner | Sinking Funds | Page &amp;P</oddHeader>
    <oddFooter>&amp;CGenerated with Budget Planner Pro</oddFooter>
    <evenHeader/>
    <evenFooter/>
    <firstHeader/>
    <firstFooter/>
  </headerFooter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6C757D"/>
    <outlinePr summaryBelow="1" summaryRight="1"/>
  </sheetPr>
  <dimension ref="A1:H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3" customWidth="1" min="4" max="4"/>
    <col width="13" customWidth="1" min="5" max="5"/>
    <col width="16" customWidth="1" min="6" max="6"/>
    <col width="16" customWidth="1" min="7" max="7"/>
    <col width="11" customWidth="1" min="8" max="8"/>
  </cols>
  <sheetData>
    <row r="1" ht="40" customHeight="1">
      <c r="A1" s="2" t="inlineStr">
        <is>
          <t>🔁 Subscriptions</t>
        </is>
      </c>
    </row>
    <row r="2" ht="30" customHeight="1">
      <c r="A2" s="78" t="inlineStr">
        <is>
          <t>Track every recurring subscription in one place. Set a subscription to 'No' under Active when you cancel it — totals below only count active subscriptions.</t>
        </is>
      </c>
    </row>
    <row r="3">
      <c r="A3" s="1" t="inlineStr">
        <is>
          <t>Service Name</t>
        </is>
      </c>
      <c r="B3" s="1" t="inlineStr">
        <is>
          <t>Category</t>
        </is>
      </c>
      <c r="C3" s="1" t="inlineStr">
        <is>
          <t>Monthly Cost</t>
        </is>
      </c>
      <c r="D3" s="1" t="inlineStr">
        <is>
          <t>Billing Cycle</t>
        </is>
      </c>
      <c r="E3" s="1" t="inlineStr">
        <is>
          <t>Annual Cost</t>
        </is>
      </c>
      <c r="F3" s="1" t="inlineStr">
        <is>
          <t>Next Billing Date</t>
        </is>
      </c>
      <c r="G3" s="1" t="inlineStr">
        <is>
          <t>Payment Method</t>
        </is>
      </c>
      <c r="H3" s="1" t="inlineStr">
        <is>
          <t>Active?</t>
        </is>
      </c>
    </row>
    <row r="4">
      <c r="A4" s="22" t="inlineStr">
        <is>
          <t>Netflix</t>
        </is>
      </c>
      <c r="B4" s="22" t="inlineStr">
        <is>
          <t>Streaming</t>
        </is>
      </c>
      <c r="C4" s="24" t="n">
        <v>15.49</v>
      </c>
      <c r="D4" s="22" t="inlineStr">
        <is>
          <t>Monthly</t>
        </is>
      </c>
      <c r="E4" s="10">
        <f>IFS(D4="Monthly",C4*12,D4="Annual",C4,D4="Quarterly",C4*4,D4="Weekly",C4*52,TRUE,C4*12)</f>
        <v/>
      </c>
      <c r="F4" s="83" t="n">
        <v>46199</v>
      </c>
      <c r="G4" s="22" t="inlineStr">
        <is>
          <t>Credit Card</t>
        </is>
      </c>
      <c r="H4" s="22" t="inlineStr">
        <is>
          <t>Yes</t>
        </is>
      </c>
    </row>
    <row r="5">
      <c r="A5" s="48" t="inlineStr">
        <is>
          <t>Spotify</t>
        </is>
      </c>
      <c r="B5" s="48" t="inlineStr">
        <is>
          <t>Streaming</t>
        </is>
      </c>
      <c r="C5" s="49" t="n">
        <v>11.99</v>
      </c>
      <c r="D5" s="48" t="inlineStr">
        <is>
          <t>Monthly</t>
        </is>
      </c>
      <c r="E5" s="13">
        <f>IFS(D5="Monthly",C5*12,D5="Annual",C5,D5="Quarterly",C5*4,D5="Weekly",C5*52,TRUE,C5*12)</f>
        <v/>
      </c>
      <c r="F5" s="47" t="n">
        <v>46192</v>
      </c>
      <c r="G5" s="48" t="inlineStr">
        <is>
          <t>Credit Card</t>
        </is>
      </c>
      <c r="H5" s="48" t="inlineStr">
        <is>
          <t>Yes</t>
        </is>
      </c>
    </row>
    <row r="6">
      <c r="A6" s="22" t="inlineStr">
        <is>
          <t>Amazon Prime</t>
        </is>
      </c>
      <c r="B6" s="22" t="inlineStr">
        <is>
          <t>Shopping</t>
        </is>
      </c>
      <c r="C6" s="24" t="n">
        <v>139</v>
      </c>
      <c r="D6" s="22" t="inlineStr">
        <is>
          <t>Annual</t>
        </is>
      </c>
      <c r="E6" s="10">
        <f>IFS(D6="Monthly",C6*12,D6="Annual",C6,D6="Quarterly",C6*4,D6="Weekly",C6*52,TRUE,C6*12)</f>
        <v/>
      </c>
      <c r="F6" s="83" t="n">
        <v>46387</v>
      </c>
      <c r="G6" s="22" t="inlineStr">
        <is>
          <t>Credit Card</t>
        </is>
      </c>
      <c r="H6" s="22" t="inlineStr">
        <is>
          <t>Yes</t>
        </is>
      </c>
    </row>
    <row r="7">
      <c r="A7" s="48" t="inlineStr">
        <is>
          <t>Disney+</t>
        </is>
      </c>
      <c r="B7" s="48" t="inlineStr">
        <is>
          <t>Streaming</t>
        </is>
      </c>
      <c r="C7" s="49" t="n">
        <v>13.99</v>
      </c>
      <c r="D7" s="48" t="inlineStr">
        <is>
          <t>Monthly</t>
        </is>
      </c>
      <c r="E7" s="13">
        <f>IFS(D7="Monthly",C7*12,D7="Annual",C7,D7="Quarterly",C7*4,D7="Weekly",C7*52,TRUE,C7*12)</f>
        <v/>
      </c>
      <c r="F7" s="47" t="n">
        <v>46205</v>
      </c>
      <c r="G7" s="48" t="inlineStr">
        <is>
          <t>Debit Card</t>
        </is>
      </c>
      <c r="H7" s="48" t="inlineStr">
        <is>
          <t>Yes</t>
        </is>
      </c>
    </row>
    <row r="8">
      <c r="A8" s="22" t="inlineStr">
        <is>
          <t>Gym Membership</t>
        </is>
      </c>
      <c r="B8" s="22" t="inlineStr">
        <is>
          <t>Fitness</t>
        </is>
      </c>
      <c r="C8" s="24" t="n">
        <v>39.99</v>
      </c>
      <c r="D8" s="22" t="inlineStr">
        <is>
          <t>Monthly</t>
        </is>
      </c>
      <c r="E8" s="10">
        <f>IFS(D8="Monthly",C8*12,D8="Annual",C8,D8="Quarterly",C8*4,D8="Weekly",C8*52,TRUE,C8*12)</f>
        <v/>
      </c>
      <c r="F8" s="83" t="n">
        <v>46188</v>
      </c>
      <c r="G8" s="22" t="inlineStr">
        <is>
          <t>Bank Transfer</t>
        </is>
      </c>
      <c r="H8" s="22" t="inlineStr">
        <is>
          <t>Yes</t>
        </is>
      </c>
    </row>
    <row r="9">
      <c r="A9" s="48" t="inlineStr">
        <is>
          <t>iCloud Storage</t>
        </is>
      </c>
      <c r="B9" s="48" t="inlineStr">
        <is>
          <t>Software</t>
        </is>
      </c>
      <c r="C9" s="49" t="n">
        <v>2.99</v>
      </c>
      <c r="D9" s="48" t="inlineStr">
        <is>
          <t>Monthly</t>
        </is>
      </c>
      <c r="E9" s="13">
        <f>IFS(D9="Monthly",C9*12,D9="Annual",C9,D9="Quarterly",C9*4,D9="Weekly",C9*52,TRUE,C9*12)</f>
        <v/>
      </c>
      <c r="F9" s="47" t="n">
        <v>46196</v>
      </c>
      <c r="G9" s="48" t="inlineStr">
        <is>
          <t>Credit Card</t>
        </is>
      </c>
      <c r="H9" s="48" t="inlineStr">
        <is>
          <t>Yes</t>
        </is>
      </c>
    </row>
    <row r="10">
      <c r="A10" s="22" t="inlineStr">
        <is>
          <t>YouTube Premium</t>
        </is>
      </c>
      <c r="B10" s="22" t="inlineStr">
        <is>
          <t>Streaming</t>
        </is>
      </c>
      <c r="C10" s="24" t="n">
        <v>13.99</v>
      </c>
      <c r="D10" s="22" t="inlineStr">
        <is>
          <t>Monthly</t>
        </is>
      </c>
      <c r="E10" s="10">
        <f>IFS(D10="Monthly",C10*12,D10="Annual",C10,D10="Quarterly",C10*4,D10="Weekly",C10*52,TRUE,C10*12)</f>
        <v/>
      </c>
      <c r="F10" s="83" t="n">
        <v>46209</v>
      </c>
      <c r="G10" s="22" t="inlineStr">
        <is>
          <t>Credit Card</t>
        </is>
      </c>
      <c r="H10" s="22" t="inlineStr">
        <is>
          <t>Yes</t>
        </is>
      </c>
    </row>
    <row r="11">
      <c r="A11" s="48" t="inlineStr">
        <is>
          <t>Adobe Creative Cloud</t>
        </is>
      </c>
      <c r="B11" s="48" t="inlineStr">
        <is>
          <t>Software</t>
        </is>
      </c>
      <c r="C11" s="49" t="n">
        <v>54.99</v>
      </c>
      <c r="D11" s="48" t="inlineStr">
        <is>
          <t>Monthly</t>
        </is>
      </c>
      <c r="E11" s="13">
        <f>IFS(D11="Monthly",C11*12,D11="Annual",C11,D11="Quarterly",C11*4,D11="Weekly",C11*52,TRUE,C11*12)</f>
        <v/>
      </c>
      <c r="F11" s="47" t="n">
        <v>46201</v>
      </c>
      <c r="G11" s="48" t="inlineStr">
        <is>
          <t>Credit Card</t>
        </is>
      </c>
      <c r="H11" s="48" t="inlineStr">
        <is>
          <t>Yes</t>
        </is>
      </c>
    </row>
    <row r="12">
      <c r="A12" s="22" t="inlineStr">
        <is>
          <t>Microsoft 365</t>
        </is>
      </c>
      <c r="B12" s="22" t="inlineStr">
        <is>
          <t>Software</t>
        </is>
      </c>
      <c r="C12" s="24" t="n">
        <v>99</v>
      </c>
      <c r="D12" s="22" t="inlineStr">
        <is>
          <t>Annual</t>
        </is>
      </c>
      <c r="E12" s="10">
        <f>IFS(D12="Monthly",C12*12,D12="Annual",C12,D12="Quarterly",C12*4,D12="Weekly",C12*52,TRUE,C12*12)</f>
        <v/>
      </c>
      <c r="F12" s="83" t="n">
        <v>46307</v>
      </c>
      <c r="G12" s="22" t="inlineStr">
        <is>
          <t>Credit Card</t>
        </is>
      </c>
      <c r="H12" s="22" t="inlineStr">
        <is>
          <t>Yes</t>
        </is>
      </c>
    </row>
    <row r="13">
      <c r="A13" s="48" t="inlineStr">
        <is>
          <t>Hulu</t>
        </is>
      </c>
      <c r="B13" s="48" t="inlineStr">
        <is>
          <t>Streaming</t>
        </is>
      </c>
      <c r="C13" s="49" t="n">
        <v>7.99</v>
      </c>
      <c r="D13" s="48" t="inlineStr">
        <is>
          <t>Monthly</t>
        </is>
      </c>
      <c r="E13" s="13">
        <f>IFS(D13="Monthly",C13*12,D13="Annual",C13,D13="Quarterly",C13*4,D13="Weekly",C13*52,TRUE,C13*12)</f>
        <v/>
      </c>
      <c r="F13" s="47" t="n">
        <v>46214</v>
      </c>
      <c r="G13" s="48" t="inlineStr">
        <is>
          <t>Debit Card</t>
        </is>
      </c>
      <c r="H13" s="48" t="inlineStr">
        <is>
          <t>No</t>
        </is>
      </c>
    </row>
    <row r="14">
      <c r="A14" s="22" t="inlineStr">
        <is>
          <t>Audible</t>
        </is>
      </c>
      <c r="B14" s="22" t="inlineStr">
        <is>
          <t>Entertainment</t>
        </is>
      </c>
      <c r="C14" s="24" t="n">
        <v>14.95</v>
      </c>
      <c r="D14" s="22" t="inlineStr">
        <is>
          <t>Monthly</t>
        </is>
      </c>
      <c r="E14" s="10">
        <f>IFS(D14="Monthly",C14*12,D14="Annual",C14,D14="Quarterly",C14*4,D14="Weekly",C14*52,TRUE,C14*12)</f>
        <v/>
      </c>
      <c r="F14" s="83" t="n">
        <v>46195</v>
      </c>
      <c r="G14" s="22" t="inlineStr">
        <is>
          <t>Credit Card</t>
        </is>
      </c>
      <c r="H14" s="22" t="inlineStr">
        <is>
          <t>Yes</t>
        </is>
      </c>
    </row>
    <row r="15">
      <c r="A15" s="48" t="inlineStr">
        <is>
          <t>Domain / Hosting</t>
        </is>
      </c>
      <c r="B15" s="48" t="inlineStr">
        <is>
          <t>Software</t>
        </is>
      </c>
      <c r="C15" s="49" t="n">
        <v>180</v>
      </c>
      <c r="D15" s="48" t="inlineStr">
        <is>
          <t>Annual</t>
        </is>
      </c>
      <c r="E15" s="13">
        <f>IFS(D15="Monthly",C15*12,D15="Annual",C15,D15="Quarterly",C15*4,D15="Weekly",C15*52,TRUE,C15*12)</f>
        <v/>
      </c>
      <c r="F15" s="47" t="n">
        <v>46437</v>
      </c>
      <c r="G15" s="48" t="inlineStr">
        <is>
          <t>PayPal</t>
        </is>
      </c>
      <c r="H15" s="48" t="inlineStr">
        <is>
          <t>Yes</t>
        </is>
      </c>
    </row>
    <row r="17">
      <c r="A17" s="4" t="inlineStr">
        <is>
          <t>📊 SUBSCRIPTION SUMMARY</t>
        </is>
      </c>
    </row>
    <row r="18" ht="30" customHeight="1">
      <c r="A18" s="89" t="inlineStr">
        <is>
          <t>Active Subscriptions</t>
        </is>
      </c>
      <c r="B18" s="94">
        <f>COUNTIF(H4:H15,"Yes")</f>
        <v/>
      </c>
      <c r="C18" s="89" t="inlineStr">
        <is>
          <t>Monthly Cost (Active)</t>
        </is>
      </c>
      <c r="D18" s="13">
        <f>SUMIF(H4:H15,"Yes",C4:C15)</f>
        <v/>
      </c>
      <c r="E18" s="89" t="inlineStr">
        <is>
          <t>Annual Cost (Active)</t>
        </is>
      </c>
      <c r="F18" s="13">
        <f>SUMIF(H4:H15,"Yes",E4:E15)</f>
        <v/>
      </c>
      <c r="G18" s="89" t="inlineStr">
        <is>
          <t>Cancelled (Annual Savings)</t>
        </is>
      </c>
      <c r="H18" s="13">
        <f>SUMIF(H4:H15,"No",E4:E15)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3">
    <mergeCell ref="A2:H2"/>
    <mergeCell ref="A17:H17"/>
    <mergeCell ref="A1:H1"/>
  </mergeCells>
  <conditionalFormatting sqref="A4:H15">
    <cfRule type="expression" priority="1" dxfId="11">
      <formula>$H4="No"</formula>
    </cfRule>
  </conditionalFormatting>
  <dataValidations count="3">
    <dataValidation sqref="D4:D15" showDropDown="0" showInputMessage="0" showErrorMessage="0" allowBlank="1" type="list">
      <formula1>=BILLING_CYCLES</formula1>
    </dataValidation>
    <dataValidation sqref="G4:G15" showDropDown="0" showInputMessage="0" showErrorMessage="0" allowBlank="1" type="list">
      <formula1>=PAYMENT_METHODS</formula1>
    </dataValidation>
    <dataValidation sqref="H4:H15" showDropDown="0" showInputMessage="0" showErrorMessage="0" allowBlank="1" type="list">
      <formula1>=YES_NO</formula1>
    </dataValidation>
  </dataValidations>
  <pageMargins left="0.75" right="0.75" top="1" bottom="1" header="0.5" footer="0.5"/>
  <pageSetup orientation="landscape" fitToHeight="0" fitToWidth="1"/>
  <headerFooter>
    <oddHeader>&amp;CUltimate Budget Planner | Subscriptions | Page &amp;P</oddHeader>
    <oddFooter>&amp;CGenerated with Budget Planner Pro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F4A261"/>
    <outlinePr summaryBelow="1" summaryRight="1"/>
  </sheetPr>
  <dimension ref="A1:L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2" customWidth="1" min="4" max="4"/>
    <col width="15" customWidth="1" min="5" max="5"/>
    <col width="10" customWidth="1" min="6" max="6"/>
    <col width="9" customWidth="1" min="7" max="7"/>
    <col width="13" customWidth="1" min="8" max="8"/>
    <col width="13" customWidth="1" min="9" max="9"/>
    <col width="18" customWidth="1" min="10" max="10"/>
    <col width="13" customWidth="1" min="11" max="11"/>
    <col width="16" customWidth="1" min="12" max="12"/>
  </cols>
  <sheetData>
    <row r="1" ht="40" customHeight="1">
      <c r="A1" s="2" t="inlineStr">
        <is>
          <t>📅 Bills Calendar</t>
        </is>
      </c>
    </row>
    <row r="2" ht="30" customHeight="1">
      <c r="A2" s="78" t="inlineStr">
        <is>
          <t>List every recurring bill with its due day of the month. Mark a bill 'Yes' under Paid? once you've paid it — the Status column and summary below update automatically.</t>
        </is>
      </c>
    </row>
    <row r="3">
      <c r="A3" s="1" t="inlineStr">
        <is>
          <t>Bill Name</t>
        </is>
      </c>
      <c r="B3" s="1" t="inlineStr">
        <is>
          <t>Category</t>
        </is>
      </c>
      <c r="C3" s="1" t="inlineStr">
        <is>
          <t>Due Day</t>
        </is>
      </c>
      <c r="D3" s="1" t="inlineStr">
        <is>
          <t>Amount</t>
        </is>
      </c>
      <c r="E3" s="1" t="inlineStr">
        <is>
          <t>Payment Method</t>
        </is>
      </c>
      <c r="F3" s="1" t="inlineStr">
        <is>
          <t>Auto-Pay?</t>
        </is>
      </c>
      <c r="G3" s="1" t="inlineStr">
        <is>
          <t>Paid?</t>
        </is>
      </c>
      <c r="H3" s="1" t="inlineStr">
        <is>
          <t>Due Date</t>
        </is>
      </c>
      <c r="I3" s="1" t="inlineStr">
        <is>
          <t>Days Until Due</t>
        </is>
      </c>
      <c r="J3" s="1" t="inlineStr">
        <is>
          <t>Notes</t>
        </is>
      </c>
      <c r="K3" s="1" t="inlineStr">
        <is>
          <t>Date Paid</t>
        </is>
      </c>
      <c r="L3" s="1" t="inlineStr">
        <is>
          <t>Status</t>
        </is>
      </c>
    </row>
    <row r="4">
      <c r="A4" s="22" t="inlineStr">
        <is>
          <t>Rent / Mortgage</t>
        </is>
      </c>
      <c r="B4" s="22" t="inlineStr">
        <is>
          <t>Housing</t>
        </is>
      </c>
      <c r="C4" s="95" t="n">
        <v>1</v>
      </c>
      <c r="D4" s="24" t="n">
        <v>1450</v>
      </c>
      <c r="E4" s="22" t="inlineStr">
        <is>
          <t>Bank Transfer</t>
        </is>
      </c>
      <c r="F4" s="22" t="inlineStr">
        <is>
          <t>Yes</t>
        </is>
      </c>
      <c r="G4" s="22" t="inlineStr">
        <is>
          <t>Yes</t>
        </is>
      </c>
      <c r="H4" s="18">
        <f>DATE(YEAR(TODAY()),MONTH(TODAY()),C4)</f>
        <v/>
      </c>
      <c r="I4" s="96">
        <f>H4-TODAY()</f>
        <v/>
      </c>
      <c r="J4" s="22" t="n"/>
      <c r="K4" s="83" t="n">
        <v>46185</v>
      </c>
      <c r="L4" s="9">
        <f>IF(G4="Yes","✅ Paid",IF(I4&lt;0,"🔴 Overdue",IF(I4&lt;=3,"⚠️ Due Soon","📅 Upcoming")))</f>
        <v/>
      </c>
    </row>
    <row r="5">
      <c r="A5" s="48" t="inlineStr">
        <is>
          <t>Electricity</t>
        </is>
      </c>
      <c r="B5" s="48" t="inlineStr">
        <is>
          <t>Utilities</t>
        </is>
      </c>
      <c r="C5" s="97" t="n">
        <v>5</v>
      </c>
      <c r="D5" s="49" t="n">
        <v>120</v>
      </c>
      <c r="E5" s="48" t="inlineStr">
        <is>
          <t>Debit Card</t>
        </is>
      </c>
      <c r="F5" s="48" t="inlineStr">
        <is>
          <t>Yes</t>
        </is>
      </c>
      <c r="G5" s="48" t="inlineStr">
        <is>
          <t>Yes</t>
        </is>
      </c>
      <c r="H5" s="19">
        <f>DATE(YEAR(TODAY()),MONTH(TODAY()),C5)</f>
        <v/>
      </c>
      <c r="I5" s="98">
        <f>H5-TODAY()</f>
        <v/>
      </c>
      <c r="J5" s="48" t="n"/>
      <c r="K5" s="47" t="n">
        <v>46185</v>
      </c>
      <c r="L5" s="12">
        <f>IF(G5="Yes","✅ Paid",IF(I5&lt;0,"🔴 Overdue",IF(I5&lt;=3,"⚠️ Due Soon","📅 Upcoming")))</f>
        <v/>
      </c>
    </row>
    <row r="6">
      <c r="A6" s="22" t="inlineStr">
        <is>
          <t>Water</t>
        </is>
      </c>
      <c r="B6" s="22" t="inlineStr">
        <is>
          <t>Utilities</t>
        </is>
      </c>
      <c r="C6" s="95" t="n">
        <v>7</v>
      </c>
      <c r="D6" s="24" t="n">
        <v>45</v>
      </c>
      <c r="E6" s="22" t="inlineStr">
        <is>
          <t>Debit Card</t>
        </is>
      </c>
      <c r="F6" s="22" t="inlineStr">
        <is>
          <t>No</t>
        </is>
      </c>
      <c r="G6" s="22" t="inlineStr">
        <is>
          <t>No</t>
        </is>
      </c>
      <c r="H6" s="18">
        <f>DATE(YEAR(TODAY()),MONTH(TODAY()),C6)</f>
        <v/>
      </c>
      <c r="I6" s="96">
        <f>H6-TODAY()</f>
        <v/>
      </c>
      <c r="J6" s="22" t="n"/>
      <c r="K6" s="22" t="n"/>
      <c r="L6" s="9">
        <f>IF(G6="Yes","✅ Paid",IF(I6&lt;0,"🔴 Overdue",IF(I6&lt;=3,"⚠️ Due Soon","📅 Upcoming")))</f>
        <v/>
      </c>
    </row>
    <row r="7">
      <c r="A7" s="48" t="inlineStr">
        <is>
          <t>Internet</t>
        </is>
      </c>
      <c r="B7" s="48" t="inlineStr">
        <is>
          <t>Utilities</t>
        </is>
      </c>
      <c r="C7" s="97" t="n">
        <v>10</v>
      </c>
      <c r="D7" s="49" t="n">
        <v>65</v>
      </c>
      <c r="E7" s="48" t="inlineStr">
        <is>
          <t>Credit Card</t>
        </is>
      </c>
      <c r="F7" s="48" t="inlineStr">
        <is>
          <t>Yes</t>
        </is>
      </c>
      <c r="G7" s="48" t="inlineStr">
        <is>
          <t>Yes</t>
        </is>
      </c>
      <c r="H7" s="19">
        <f>DATE(YEAR(TODAY()),MONTH(TODAY()),C7)</f>
        <v/>
      </c>
      <c r="I7" s="98">
        <f>H7-TODAY()</f>
        <v/>
      </c>
      <c r="J7" s="48" t="n"/>
      <c r="K7" s="47" t="n">
        <v>46185</v>
      </c>
      <c r="L7" s="12">
        <f>IF(G7="Yes","✅ Paid",IF(I7&lt;0,"🔴 Overdue",IF(I7&lt;=3,"⚠️ Due Soon","📅 Upcoming")))</f>
        <v/>
      </c>
    </row>
    <row r="8">
      <c r="A8" s="22" t="inlineStr">
        <is>
          <t>Phone</t>
        </is>
      </c>
      <c r="B8" s="22" t="inlineStr">
        <is>
          <t>Utilities</t>
        </is>
      </c>
      <c r="C8" s="95" t="n">
        <v>12</v>
      </c>
      <c r="D8" s="24" t="n">
        <v>85</v>
      </c>
      <c r="E8" s="22" t="inlineStr">
        <is>
          <t>Credit Card</t>
        </is>
      </c>
      <c r="F8" s="22" t="inlineStr">
        <is>
          <t>Yes</t>
        </is>
      </c>
      <c r="G8" s="22" t="inlineStr">
        <is>
          <t>No</t>
        </is>
      </c>
      <c r="H8" s="18">
        <f>DATE(YEAR(TODAY()),MONTH(TODAY()),C8)</f>
        <v/>
      </c>
      <c r="I8" s="96">
        <f>H8-TODAY()</f>
        <v/>
      </c>
      <c r="J8" s="22" t="n"/>
      <c r="K8" s="22" t="n"/>
      <c r="L8" s="9">
        <f>IF(G8="Yes","✅ Paid",IF(I8&lt;0,"🔴 Overdue",IF(I8&lt;=3,"⚠️ Due Soon","📅 Upcoming")))</f>
        <v/>
      </c>
    </row>
    <row r="9">
      <c r="A9" s="48" t="inlineStr">
        <is>
          <t>Car Insurance</t>
        </is>
      </c>
      <c r="B9" s="48" t="inlineStr">
        <is>
          <t>Insurance</t>
        </is>
      </c>
      <c r="C9" s="97" t="n">
        <v>15</v>
      </c>
      <c r="D9" s="49" t="n">
        <v>110</v>
      </c>
      <c r="E9" s="48" t="inlineStr">
        <is>
          <t>Bank Transfer</t>
        </is>
      </c>
      <c r="F9" s="48" t="inlineStr">
        <is>
          <t>Yes</t>
        </is>
      </c>
      <c r="G9" s="48" t="inlineStr">
        <is>
          <t>No</t>
        </is>
      </c>
      <c r="H9" s="19">
        <f>DATE(YEAR(TODAY()),MONTH(TODAY()),C9)</f>
        <v/>
      </c>
      <c r="I9" s="98">
        <f>H9-TODAY()</f>
        <v/>
      </c>
      <c r="J9" s="48" t="n"/>
      <c r="K9" s="48" t="n"/>
      <c r="L9" s="12">
        <f>IF(G9="Yes","✅ Paid",IF(I9&lt;0,"🔴 Overdue",IF(I9&lt;=3,"⚠️ Due Soon","📅 Upcoming")))</f>
        <v/>
      </c>
    </row>
    <row r="10">
      <c r="A10" s="22" t="inlineStr">
        <is>
          <t>Health Insurance</t>
        </is>
      </c>
      <c r="B10" s="22" t="inlineStr">
        <is>
          <t>Insurance</t>
        </is>
      </c>
      <c r="C10" s="95" t="n">
        <v>1</v>
      </c>
      <c r="D10" s="24" t="n">
        <v>320</v>
      </c>
      <c r="E10" s="22" t="inlineStr">
        <is>
          <t>Bank Transfer</t>
        </is>
      </c>
      <c r="F10" s="22" t="inlineStr">
        <is>
          <t>Yes</t>
        </is>
      </c>
      <c r="G10" s="22" t="inlineStr">
        <is>
          <t>Yes</t>
        </is>
      </c>
      <c r="H10" s="18">
        <f>DATE(YEAR(TODAY()),MONTH(TODAY()),C10)</f>
        <v/>
      </c>
      <c r="I10" s="96">
        <f>H10-TODAY()</f>
        <v/>
      </c>
      <c r="J10" s="22" t="n"/>
      <c r="K10" s="83" t="n">
        <v>46185</v>
      </c>
      <c r="L10" s="9">
        <f>IF(G10="Yes","✅ Paid",IF(I10&lt;0,"🔴 Overdue",IF(I10&lt;=3,"⚠️ Due Soon","📅 Upcoming")))</f>
        <v/>
      </c>
    </row>
    <row r="11">
      <c r="A11" s="48" t="inlineStr">
        <is>
          <t>Car Payment</t>
        </is>
      </c>
      <c r="B11" s="48" t="inlineStr">
        <is>
          <t>Debt Payment</t>
        </is>
      </c>
      <c r="C11" s="97" t="n">
        <v>20</v>
      </c>
      <c r="D11" s="49" t="n">
        <v>380</v>
      </c>
      <c r="E11" s="48" t="inlineStr">
        <is>
          <t>Bank Transfer</t>
        </is>
      </c>
      <c r="F11" s="48" t="inlineStr">
        <is>
          <t>Yes</t>
        </is>
      </c>
      <c r="G11" s="48" t="inlineStr">
        <is>
          <t>No</t>
        </is>
      </c>
      <c r="H11" s="19">
        <f>DATE(YEAR(TODAY()),MONTH(TODAY()),C11)</f>
        <v/>
      </c>
      <c r="I11" s="98">
        <f>H11-TODAY()</f>
        <v/>
      </c>
      <c r="J11" s="48" t="n"/>
      <c r="K11" s="48" t="n"/>
      <c r="L11" s="12">
        <f>IF(G11="Yes","✅ Paid",IF(I11&lt;0,"🔴 Overdue",IF(I11&lt;=3,"⚠️ Due Soon","📅 Upcoming")))</f>
        <v/>
      </c>
    </row>
    <row r="12">
      <c r="A12" s="22" t="inlineStr">
        <is>
          <t>Student Loan Payment</t>
        </is>
      </c>
      <c r="B12" s="22" t="inlineStr">
        <is>
          <t>Debt Payment</t>
        </is>
      </c>
      <c r="C12" s="95" t="n">
        <v>25</v>
      </c>
      <c r="D12" s="24" t="n">
        <v>320</v>
      </c>
      <c r="E12" s="22" t="inlineStr">
        <is>
          <t>Bank Transfer</t>
        </is>
      </c>
      <c r="F12" s="22" t="inlineStr">
        <is>
          <t>Yes</t>
        </is>
      </c>
      <c r="G12" s="22" t="inlineStr">
        <is>
          <t>No</t>
        </is>
      </c>
      <c r="H12" s="18">
        <f>DATE(YEAR(TODAY()),MONTH(TODAY()),C12)</f>
        <v/>
      </c>
      <c r="I12" s="96">
        <f>H12-TODAY()</f>
        <v/>
      </c>
      <c r="J12" s="22" t="n"/>
      <c r="K12" s="22" t="n"/>
      <c r="L12" s="9">
        <f>IF(G12="Yes","✅ Paid",IF(I12&lt;0,"🔴 Overdue",IF(I12&lt;=3,"⚠️ Due Soon","📅 Upcoming")))</f>
        <v/>
      </c>
    </row>
    <row r="13">
      <c r="A13" s="48" t="inlineStr">
        <is>
          <t>Credit Card Payment</t>
        </is>
      </c>
      <c r="B13" s="48" t="inlineStr">
        <is>
          <t>Debt Payment</t>
        </is>
      </c>
      <c r="C13" s="97" t="n">
        <v>28</v>
      </c>
      <c r="D13" s="49" t="n">
        <v>150</v>
      </c>
      <c r="E13" s="48" t="inlineStr">
        <is>
          <t>Bank Transfer</t>
        </is>
      </c>
      <c r="F13" s="48" t="inlineStr">
        <is>
          <t>No</t>
        </is>
      </c>
      <c r="G13" s="48" t="inlineStr">
        <is>
          <t>No</t>
        </is>
      </c>
      <c r="H13" s="19">
        <f>DATE(YEAR(TODAY()),MONTH(TODAY()),C13)</f>
        <v/>
      </c>
      <c r="I13" s="98">
        <f>H13-TODAY()</f>
        <v/>
      </c>
      <c r="J13" s="48" t="n"/>
      <c r="K13" s="48" t="n"/>
      <c r="L13" s="12">
        <f>IF(G13="Yes","✅ Paid",IF(I13&lt;0,"🔴 Overdue",IF(I13&lt;=3,"⚠️ Due Soon","📅 Upcoming")))</f>
        <v/>
      </c>
    </row>
    <row r="14">
      <c r="A14" s="22" t="inlineStr">
        <is>
          <t>Streaming Bundle</t>
        </is>
      </c>
      <c r="B14" s="22" t="inlineStr">
        <is>
          <t>Subscriptions</t>
        </is>
      </c>
      <c r="C14" s="95" t="n">
        <v>3</v>
      </c>
      <c r="D14" s="24" t="n">
        <v>45</v>
      </c>
      <c r="E14" s="22" t="inlineStr">
        <is>
          <t>Credit Card</t>
        </is>
      </c>
      <c r="F14" s="22" t="inlineStr">
        <is>
          <t>Yes</t>
        </is>
      </c>
      <c r="G14" s="22" t="inlineStr">
        <is>
          <t>Yes</t>
        </is>
      </c>
      <c r="H14" s="18">
        <f>DATE(YEAR(TODAY()),MONTH(TODAY()),C14)</f>
        <v/>
      </c>
      <c r="I14" s="96">
        <f>H14-TODAY()</f>
        <v/>
      </c>
      <c r="J14" s="22" t="n"/>
      <c r="K14" s="83" t="n">
        <v>46185</v>
      </c>
      <c r="L14" s="9">
        <f>IF(G14="Yes","✅ Paid",IF(I14&lt;0,"🔴 Overdue",IF(I14&lt;=3,"⚠️ Due Soon","📅 Upcoming")))</f>
        <v/>
      </c>
    </row>
    <row r="15">
      <c r="A15" s="48" t="inlineStr">
        <is>
          <t>Gym Membership</t>
        </is>
      </c>
      <c r="B15" s="48" t="inlineStr">
        <is>
          <t>Personal Care</t>
        </is>
      </c>
      <c r="C15" s="97" t="n">
        <v>1</v>
      </c>
      <c r="D15" s="49" t="n">
        <v>40</v>
      </c>
      <c r="E15" s="48" t="inlineStr">
        <is>
          <t>Bank Transfer</t>
        </is>
      </c>
      <c r="F15" s="48" t="inlineStr">
        <is>
          <t>Yes</t>
        </is>
      </c>
      <c r="G15" s="48" t="inlineStr">
        <is>
          <t>Yes</t>
        </is>
      </c>
      <c r="H15" s="19">
        <f>DATE(YEAR(TODAY()),MONTH(TODAY()),C15)</f>
        <v/>
      </c>
      <c r="I15" s="98">
        <f>H15-TODAY()</f>
        <v/>
      </c>
      <c r="J15" s="48" t="n"/>
      <c r="K15" s="47" t="n">
        <v>46185</v>
      </c>
      <c r="L15" s="12">
        <f>IF(G15="Yes","✅ Paid",IF(I15&lt;0,"🔴 Overdue",IF(I15&lt;=3,"⚠️ Due Soon","📅 Upcoming")))</f>
        <v/>
      </c>
    </row>
    <row r="16">
      <c r="A16" s="22" t="inlineStr">
        <is>
          <t>Trash / Recycling</t>
        </is>
      </c>
      <c r="B16" s="22" t="inlineStr">
        <is>
          <t>Utilities</t>
        </is>
      </c>
      <c r="C16" s="95" t="n">
        <v>18</v>
      </c>
      <c r="D16" s="24" t="n">
        <v>25</v>
      </c>
      <c r="E16" s="22" t="inlineStr">
        <is>
          <t>Debit Card</t>
        </is>
      </c>
      <c r="F16" s="22" t="inlineStr">
        <is>
          <t>No</t>
        </is>
      </c>
      <c r="G16" s="22" t="inlineStr">
        <is>
          <t>No</t>
        </is>
      </c>
      <c r="H16" s="18">
        <f>DATE(YEAR(TODAY()),MONTH(TODAY()),C16)</f>
        <v/>
      </c>
      <c r="I16" s="96">
        <f>H16-TODAY()</f>
        <v/>
      </c>
      <c r="J16" s="22" t="n"/>
      <c r="K16" s="22" t="n"/>
      <c r="L16" s="9">
        <f>IF(G16="Yes","✅ Paid",IF(I16&lt;0,"🔴 Overdue",IF(I16&lt;=3,"⚠️ Due Soon","📅 Upcoming")))</f>
        <v/>
      </c>
    </row>
    <row r="17">
      <c r="A17" s="48" t="inlineStr">
        <is>
          <t>Home / Renters Insurance</t>
        </is>
      </c>
      <c r="B17" s="48" t="inlineStr">
        <is>
          <t>Insurance</t>
        </is>
      </c>
      <c r="C17" s="97" t="n">
        <v>1</v>
      </c>
      <c r="D17" s="49" t="n">
        <v>35</v>
      </c>
      <c r="E17" s="48" t="inlineStr">
        <is>
          <t>Bank Transfer</t>
        </is>
      </c>
      <c r="F17" s="48" t="inlineStr">
        <is>
          <t>Yes</t>
        </is>
      </c>
      <c r="G17" s="48" t="inlineStr">
        <is>
          <t>Yes</t>
        </is>
      </c>
      <c r="H17" s="19">
        <f>DATE(YEAR(TODAY()),MONTH(TODAY()),C17)</f>
        <v/>
      </c>
      <c r="I17" s="98">
        <f>H17-TODAY()</f>
        <v/>
      </c>
      <c r="J17" s="48" t="n"/>
      <c r="K17" s="47" t="n">
        <v>46185</v>
      </c>
      <c r="L17" s="12">
        <f>IF(G17="Yes","✅ Paid",IF(I17&lt;0,"🔴 Overdue",IF(I17&lt;=3,"⚠️ Due Soon","📅 Upcoming")))</f>
        <v/>
      </c>
    </row>
    <row r="18">
      <c r="A18" s="22" t="inlineStr">
        <is>
          <t>Childcare</t>
        </is>
      </c>
      <c r="B18" s="22" t="inlineStr">
        <is>
          <t>Kids</t>
        </is>
      </c>
      <c r="C18" s="95" t="n">
        <v>1</v>
      </c>
      <c r="D18" s="24" t="n">
        <v>850</v>
      </c>
      <c r="E18" s="22" t="inlineStr">
        <is>
          <t>Bank Transfer</t>
        </is>
      </c>
      <c r="F18" s="22" t="inlineStr">
        <is>
          <t>No</t>
        </is>
      </c>
      <c r="G18" s="22" t="inlineStr">
        <is>
          <t>Yes</t>
        </is>
      </c>
      <c r="H18" s="18">
        <f>DATE(YEAR(TODAY()),MONTH(TODAY()),C18)</f>
        <v/>
      </c>
      <c r="I18" s="96">
        <f>H18-TODAY()</f>
        <v/>
      </c>
      <c r="J18" s="22" t="n"/>
      <c r="K18" s="83" t="n">
        <v>46185</v>
      </c>
      <c r="L18" s="9">
        <f>IF(G18="Yes","✅ Paid",IF(I18&lt;0,"🔴 Overdue",IF(I18&lt;=3,"⚠️ Due Soon","📅 Upcoming")))</f>
        <v/>
      </c>
    </row>
    <row r="20">
      <c r="A20" s="4" t="inlineStr">
        <is>
          <t>📊 BILLS SUMMARY</t>
        </is>
      </c>
    </row>
    <row r="21" ht="30" customHeight="1">
      <c r="A21" s="89" t="inlineStr">
        <is>
          <t>Total Monthly Bills</t>
        </is>
      </c>
      <c r="B21" s="13">
        <f>SUM(D4:D18)</f>
        <v/>
      </c>
      <c r="C21" s="89" t="inlineStr">
        <is>
          <t>Bills Paid</t>
        </is>
      </c>
      <c r="D21" s="94">
        <f>COUNTIF(G4:G18,"Yes")</f>
        <v/>
      </c>
      <c r="E21" s="89" t="inlineStr">
        <is>
          <t>Bills Remaining</t>
        </is>
      </c>
      <c r="F21" s="94">
        <f>COUNTIF(G4:G18,"No")</f>
        <v/>
      </c>
      <c r="G21" s="89" t="inlineStr">
        <is>
          <t>Overdue</t>
        </is>
      </c>
      <c r="H21" s="94">
        <f>COUNTIF(L4:L18,"🔴 Overdue")</f>
        <v/>
      </c>
      <c r="I21" s="89" t="inlineStr">
        <is>
          <t>Due Soon (≤3 days)</t>
        </is>
      </c>
      <c r="J21" s="94">
        <f>COUNTIF(L4:L18,"⚠️ Due Soon")</f>
        <v/>
      </c>
      <c r="K21" s="12" t="n"/>
      <c r="L21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3">
    <mergeCell ref="A20:L20"/>
    <mergeCell ref="A2:L2"/>
    <mergeCell ref="A1:L1"/>
  </mergeCells>
  <conditionalFormatting sqref="L4:L18">
    <cfRule type="cellIs" priority="1" operator="equal" dxfId="2">
      <formula>"✅ Paid"</formula>
    </cfRule>
    <cfRule type="cellIs" priority="2" operator="equal" dxfId="10">
      <formula>"🔴 Overdue"</formula>
    </cfRule>
    <cfRule type="cellIs" priority="3" operator="equal" dxfId="4">
      <formula>"⚠️ Due Soon"</formula>
    </cfRule>
    <cfRule type="cellIs" priority="4" operator="equal" dxfId="6">
      <formula>"📅 Upcoming"</formula>
    </cfRule>
  </conditionalFormatting>
  <dataValidations count="3">
    <dataValidation sqref="E4:E18" showDropDown="0" showInputMessage="0" showErrorMessage="0" allowBlank="1" type="list">
      <formula1>=PAYMENT_METHODS</formula1>
    </dataValidation>
    <dataValidation sqref="F4:F18" showDropDown="0" showInputMessage="0" showErrorMessage="0" allowBlank="1" type="list">
      <formula1>=YES_NO</formula1>
    </dataValidation>
    <dataValidation sqref="G4:G18" showDropDown="0" showInputMessage="0" showErrorMessage="0" allowBlank="1" type="list">
      <formula1>=YES_NO</formula1>
    </dataValidation>
  </dataValidations>
  <pageMargins left="0.75" right="0.75" top="1" bottom="1" header="0.5" footer="0.5"/>
  <pageSetup orientation="landscape" fitToHeight="0" fitToWidth="1"/>
  <headerFooter>
    <oddHeader>&amp;CUltimate Budget Planner | Bills Calendar | Page &amp;P</oddHeader>
    <oddFooter>&amp;CGenerated with Budget Planner Pro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1B4F72"/>
    <outlinePr summaryBelow="1" summaryRight="1"/>
  </sheetPr>
  <dimension ref="A1:F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4" customWidth="1" min="5" max="5"/>
    <col width="28" customWidth="1" min="6" max="6"/>
  </cols>
  <sheetData>
    <row r="1" ht="40" customHeight="1">
      <c r="A1" s="2" t="inlineStr">
        <is>
          <t>📈 Annual Overview</t>
        </is>
      </c>
    </row>
    <row r="2" ht="30" customHeight="1">
      <c r="A2" s="78" t="inlineStr">
        <is>
          <t>A year-at-a-glance view of your income, expenses, and savings — built automatically from your Income Tracker and Expense Tracker.</t>
        </is>
      </c>
    </row>
    <row r="3">
      <c r="A3" s="4">
        <f>"📊 YEAR-TO-DATE SUMMARY — "&amp;TEXT(TODAY(),"YYYY")</f>
        <v/>
      </c>
    </row>
    <row r="4">
      <c r="A4" s="99" t="inlineStr">
        <is>
          <t>Total Income (YTD)</t>
        </is>
      </c>
      <c r="B4" s="99" t="inlineStr">
        <is>
          <t>Total Expenses (YTD)</t>
        </is>
      </c>
      <c r="C4" s="99" t="inlineStr">
        <is>
          <t>Net Savings (YTD)</t>
        </is>
      </c>
      <c r="D4" s="99" t="inlineStr">
        <is>
          <t>Savings Rate (YTD)</t>
        </is>
      </c>
      <c r="E4" s="99" t="inlineStr">
        <is>
          <t>Avg Monthly Income</t>
        </is>
      </c>
      <c r="F4" s="99" t="inlineStr">
        <is>
          <t>Avg Monthly Expenses</t>
        </is>
      </c>
    </row>
    <row r="5" ht="24" customHeight="1">
      <c r="A5" s="100">
        <f>SUM(B9:B20)</f>
        <v/>
      </c>
      <c r="B5" s="100">
        <f>SUM(C9:C20)</f>
        <v/>
      </c>
      <c r="C5" s="100">
        <f>A5-B5</f>
        <v/>
      </c>
      <c r="D5" s="101">
        <f>IFERROR(C5/A5,0)</f>
        <v/>
      </c>
      <c r="E5" s="100">
        <f>AVERAGE(B9:B20)</f>
        <v/>
      </c>
      <c r="F5" s="100">
        <f>AVERAGE(C9:C20)</f>
        <v/>
      </c>
    </row>
    <row r="7">
      <c r="A7" s="4" t="inlineStr">
        <is>
          <t>📅 MONTHLY BREAKDOWN</t>
        </is>
      </c>
    </row>
    <row r="8">
      <c r="A8" s="1" t="inlineStr">
        <is>
          <t>Month</t>
        </is>
      </c>
      <c r="B8" s="1" t="inlineStr">
        <is>
          <t>Income</t>
        </is>
      </c>
      <c r="C8" s="1" t="inlineStr">
        <is>
          <t>Expenses</t>
        </is>
      </c>
      <c r="D8" s="1" t="inlineStr">
        <is>
          <t>Net</t>
        </is>
      </c>
      <c r="E8" s="1" t="inlineStr">
        <is>
          <t>Savings Rate</t>
        </is>
      </c>
      <c r="F8" s="1" t="inlineStr">
        <is>
          <t>% of Income Spent</t>
        </is>
      </c>
    </row>
    <row r="9">
      <c r="A9" s="9" t="inlineStr">
        <is>
          <t>January</t>
        </is>
      </c>
      <c r="B9" s="10">
        <f>SUMIFS('Income Tracker'!G4:G103,'Income Tracker'!J4:J103,1,'Income Tracker'!K4:K103,YEAR(TODAY()))</f>
        <v/>
      </c>
      <c r="C9" s="10">
        <f>SUMIFS('Expense Tracker'!E4:E503,'Expense Tracker'!L4:L503,1,'Expense Tracker'!M4:M503,YEAR(TODAY()))</f>
        <v/>
      </c>
      <c r="D9" s="10">
        <f>B9-C9</f>
        <v/>
      </c>
      <c r="E9" s="46">
        <f>IFERROR(D9/B9,0)</f>
        <v/>
      </c>
      <c r="F9" s="11">
        <f>REPT("█",ROUND((IFERROR(MIN(C9/B9,1),0))*20,0))&amp;REPT("░",20-ROUND((IFERROR(MIN(C9/B9,1),0))*20,0))&amp;" "&amp;TEXT(IFERROR(MIN(C9/B9,1),0),"0%")</f>
        <v/>
      </c>
    </row>
    <row r="10">
      <c r="A10" s="12" t="inlineStr">
        <is>
          <t>February</t>
        </is>
      </c>
      <c r="B10" s="13">
        <f>SUMIFS('Income Tracker'!G4:G103,'Income Tracker'!J4:J103,2,'Income Tracker'!K4:K103,YEAR(TODAY()))</f>
        <v/>
      </c>
      <c r="C10" s="13">
        <f>SUMIFS('Expense Tracker'!E4:E503,'Expense Tracker'!L4:L503,2,'Expense Tracker'!M4:M503,YEAR(TODAY()))</f>
        <v/>
      </c>
      <c r="D10" s="13">
        <f>B10-C10</f>
        <v/>
      </c>
      <c r="E10" s="50">
        <f>IFERROR(D10/B10,0)</f>
        <v/>
      </c>
      <c r="F10" s="14">
        <f>REPT("█",ROUND((IFERROR(MIN(C10/B10,1),0))*20,0))&amp;REPT("░",20-ROUND((IFERROR(MIN(C10/B10,1),0))*20,0))&amp;" "&amp;TEXT(IFERROR(MIN(C10/B10,1),0),"0%")</f>
        <v/>
      </c>
    </row>
    <row r="11">
      <c r="A11" s="9" t="inlineStr">
        <is>
          <t>March</t>
        </is>
      </c>
      <c r="B11" s="10">
        <f>SUMIFS('Income Tracker'!G4:G103,'Income Tracker'!J4:J103,3,'Income Tracker'!K4:K103,YEAR(TODAY()))</f>
        <v/>
      </c>
      <c r="C11" s="10">
        <f>SUMIFS('Expense Tracker'!E4:E503,'Expense Tracker'!L4:L503,3,'Expense Tracker'!M4:M503,YEAR(TODAY()))</f>
        <v/>
      </c>
      <c r="D11" s="10">
        <f>B11-C11</f>
        <v/>
      </c>
      <c r="E11" s="46">
        <f>IFERROR(D11/B11,0)</f>
        <v/>
      </c>
      <c r="F11" s="11">
        <f>REPT("█",ROUND((IFERROR(MIN(C11/B11,1),0))*20,0))&amp;REPT("░",20-ROUND((IFERROR(MIN(C11/B11,1),0))*20,0))&amp;" "&amp;TEXT(IFERROR(MIN(C11/B11,1),0),"0%")</f>
        <v/>
      </c>
    </row>
    <row r="12">
      <c r="A12" s="12" t="inlineStr">
        <is>
          <t>April</t>
        </is>
      </c>
      <c r="B12" s="13">
        <f>SUMIFS('Income Tracker'!G4:G103,'Income Tracker'!J4:J103,4,'Income Tracker'!K4:K103,YEAR(TODAY()))</f>
        <v/>
      </c>
      <c r="C12" s="13">
        <f>SUMIFS('Expense Tracker'!E4:E503,'Expense Tracker'!L4:L503,4,'Expense Tracker'!M4:M503,YEAR(TODAY()))</f>
        <v/>
      </c>
      <c r="D12" s="13">
        <f>B12-C12</f>
        <v/>
      </c>
      <c r="E12" s="50">
        <f>IFERROR(D12/B12,0)</f>
        <v/>
      </c>
      <c r="F12" s="14">
        <f>REPT("█",ROUND((IFERROR(MIN(C12/B12,1),0))*20,0))&amp;REPT("░",20-ROUND((IFERROR(MIN(C12/B12,1),0))*20,0))&amp;" "&amp;TEXT(IFERROR(MIN(C12/B12,1),0),"0%")</f>
        <v/>
      </c>
    </row>
    <row r="13">
      <c r="A13" s="9" t="inlineStr">
        <is>
          <t>May</t>
        </is>
      </c>
      <c r="B13" s="10">
        <f>SUMIFS('Income Tracker'!G4:G103,'Income Tracker'!J4:J103,5,'Income Tracker'!K4:K103,YEAR(TODAY()))</f>
        <v/>
      </c>
      <c r="C13" s="10">
        <f>SUMIFS('Expense Tracker'!E4:E503,'Expense Tracker'!L4:L503,5,'Expense Tracker'!M4:M503,YEAR(TODAY()))</f>
        <v/>
      </c>
      <c r="D13" s="10">
        <f>B13-C13</f>
        <v/>
      </c>
      <c r="E13" s="46">
        <f>IFERROR(D13/B13,0)</f>
        <v/>
      </c>
      <c r="F13" s="11">
        <f>REPT("█",ROUND((IFERROR(MIN(C13/B13,1),0))*20,0))&amp;REPT("░",20-ROUND((IFERROR(MIN(C13/B13,1),0))*20,0))&amp;" "&amp;TEXT(IFERROR(MIN(C13/B13,1),0),"0%")</f>
        <v/>
      </c>
    </row>
    <row r="14">
      <c r="A14" s="12" t="inlineStr">
        <is>
          <t>June</t>
        </is>
      </c>
      <c r="B14" s="13">
        <f>SUMIFS('Income Tracker'!G4:G103,'Income Tracker'!J4:J103,6,'Income Tracker'!K4:K103,YEAR(TODAY()))</f>
        <v/>
      </c>
      <c r="C14" s="13">
        <f>SUMIFS('Expense Tracker'!E4:E503,'Expense Tracker'!L4:L503,6,'Expense Tracker'!M4:M503,YEAR(TODAY()))</f>
        <v/>
      </c>
      <c r="D14" s="13">
        <f>B14-C14</f>
        <v/>
      </c>
      <c r="E14" s="50">
        <f>IFERROR(D14/B14,0)</f>
        <v/>
      </c>
      <c r="F14" s="14">
        <f>REPT("█",ROUND((IFERROR(MIN(C14/B14,1),0))*20,0))&amp;REPT("░",20-ROUND((IFERROR(MIN(C14/B14,1),0))*20,0))&amp;" "&amp;TEXT(IFERROR(MIN(C14/B14,1),0),"0%")</f>
        <v/>
      </c>
    </row>
    <row r="15">
      <c r="A15" s="9" t="inlineStr">
        <is>
          <t>July</t>
        </is>
      </c>
      <c r="B15" s="10">
        <f>SUMIFS('Income Tracker'!G4:G103,'Income Tracker'!J4:J103,7,'Income Tracker'!K4:K103,YEAR(TODAY()))</f>
        <v/>
      </c>
      <c r="C15" s="10">
        <f>SUMIFS('Expense Tracker'!E4:E503,'Expense Tracker'!L4:L503,7,'Expense Tracker'!M4:M503,YEAR(TODAY()))</f>
        <v/>
      </c>
      <c r="D15" s="10">
        <f>B15-C15</f>
        <v/>
      </c>
      <c r="E15" s="46">
        <f>IFERROR(D15/B15,0)</f>
        <v/>
      </c>
      <c r="F15" s="11">
        <f>REPT("█",ROUND((IFERROR(MIN(C15/B15,1),0))*20,0))&amp;REPT("░",20-ROUND((IFERROR(MIN(C15/B15,1),0))*20,0))&amp;" "&amp;TEXT(IFERROR(MIN(C15/B15,1),0),"0%")</f>
        <v/>
      </c>
    </row>
    <row r="16">
      <c r="A16" s="12" t="inlineStr">
        <is>
          <t>August</t>
        </is>
      </c>
      <c r="B16" s="13">
        <f>SUMIFS('Income Tracker'!G4:G103,'Income Tracker'!J4:J103,8,'Income Tracker'!K4:K103,YEAR(TODAY()))</f>
        <v/>
      </c>
      <c r="C16" s="13">
        <f>SUMIFS('Expense Tracker'!E4:E503,'Expense Tracker'!L4:L503,8,'Expense Tracker'!M4:M503,YEAR(TODAY()))</f>
        <v/>
      </c>
      <c r="D16" s="13">
        <f>B16-C16</f>
        <v/>
      </c>
      <c r="E16" s="50">
        <f>IFERROR(D16/B16,0)</f>
        <v/>
      </c>
      <c r="F16" s="14">
        <f>REPT("█",ROUND((IFERROR(MIN(C16/B16,1),0))*20,0))&amp;REPT("░",20-ROUND((IFERROR(MIN(C16/B16,1),0))*20,0))&amp;" "&amp;TEXT(IFERROR(MIN(C16/B16,1),0),"0%")</f>
        <v/>
      </c>
    </row>
    <row r="17">
      <c r="A17" s="9" t="inlineStr">
        <is>
          <t>September</t>
        </is>
      </c>
      <c r="B17" s="10">
        <f>SUMIFS('Income Tracker'!G4:G103,'Income Tracker'!J4:J103,9,'Income Tracker'!K4:K103,YEAR(TODAY()))</f>
        <v/>
      </c>
      <c r="C17" s="10">
        <f>SUMIFS('Expense Tracker'!E4:E503,'Expense Tracker'!L4:L503,9,'Expense Tracker'!M4:M503,YEAR(TODAY()))</f>
        <v/>
      </c>
      <c r="D17" s="10">
        <f>B17-C17</f>
        <v/>
      </c>
      <c r="E17" s="46">
        <f>IFERROR(D17/B17,0)</f>
        <v/>
      </c>
      <c r="F17" s="11">
        <f>REPT("█",ROUND((IFERROR(MIN(C17/B17,1),0))*20,0))&amp;REPT("░",20-ROUND((IFERROR(MIN(C17/B17,1),0))*20,0))&amp;" "&amp;TEXT(IFERROR(MIN(C17/B17,1),0),"0%")</f>
        <v/>
      </c>
    </row>
    <row r="18">
      <c r="A18" s="12" t="inlineStr">
        <is>
          <t>October</t>
        </is>
      </c>
      <c r="B18" s="13">
        <f>SUMIFS('Income Tracker'!G4:G103,'Income Tracker'!J4:J103,10,'Income Tracker'!K4:K103,YEAR(TODAY()))</f>
        <v/>
      </c>
      <c r="C18" s="13">
        <f>SUMIFS('Expense Tracker'!E4:E503,'Expense Tracker'!L4:L503,10,'Expense Tracker'!M4:M503,YEAR(TODAY()))</f>
        <v/>
      </c>
      <c r="D18" s="13">
        <f>B18-C18</f>
        <v/>
      </c>
      <c r="E18" s="50">
        <f>IFERROR(D18/B18,0)</f>
        <v/>
      </c>
      <c r="F18" s="14">
        <f>REPT("█",ROUND((IFERROR(MIN(C18/B18,1),0))*20,0))&amp;REPT("░",20-ROUND((IFERROR(MIN(C18/B18,1),0))*20,0))&amp;" "&amp;TEXT(IFERROR(MIN(C18/B18,1),0),"0%")</f>
        <v/>
      </c>
    </row>
    <row r="19">
      <c r="A19" s="9" t="inlineStr">
        <is>
          <t>November</t>
        </is>
      </c>
      <c r="B19" s="10">
        <f>SUMIFS('Income Tracker'!G4:G103,'Income Tracker'!J4:J103,11,'Income Tracker'!K4:K103,YEAR(TODAY()))</f>
        <v/>
      </c>
      <c r="C19" s="10">
        <f>SUMIFS('Expense Tracker'!E4:E503,'Expense Tracker'!L4:L503,11,'Expense Tracker'!M4:M503,YEAR(TODAY()))</f>
        <v/>
      </c>
      <c r="D19" s="10">
        <f>B19-C19</f>
        <v/>
      </c>
      <c r="E19" s="46">
        <f>IFERROR(D19/B19,0)</f>
        <v/>
      </c>
      <c r="F19" s="11">
        <f>REPT("█",ROUND((IFERROR(MIN(C19/B19,1),0))*20,0))&amp;REPT("░",20-ROUND((IFERROR(MIN(C19/B19,1),0))*20,0))&amp;" "&amp;TEXT(IFERROR(MIN(C19/B19,1),0),"0%")</f>
        <v/>
      </c>
    </row>
    <row r="20">
      <c r="A20" s="12" t="inlineStr">
        <is>
          <t>December</t>
        </is>
      </c>
      <c r="B20" s="13">
        <f>SUMIFS('Income Tracker'!G4:G103,'Income Tracker'!J4:J103,12,'Income Tracker'!K4:K103,YEAR(TODAY()))</f>
        <v/>
      </c>
      <c r="C20" s="13">
        <f>SUMIFS('Expense Tracker'!E4:E503,'Expense Tracker'!L4:L503,12,'Expense Tracker'!M4:M503,YEAR(TODAY()))</f>
        <v/>
      </c>
      <c r="D20" s="13">
        <f>B20-C20</f>
        <v/>
      </c>
      <c r="E20" s="50">
        <f>IFERROR(D20/B20,0)</f>
        <v/>
      </c>
      <c r="F20" s="14">
        <f>REPT("█",ROUND((IFERROR(MIN(C20/B20,1),0))*20,0))&amp;REPT("░",20-ROUND((IFERROR(MIN(C20/B20,1),0))*20,0))&amp;" "&amp;TEXT(IFERROR(MIN(C20/B20,1),0),"0%")</f>
        <v/>
      </c>
    </row>
    <row r="21">
      <c r="A21" s="15" t="inlineStr">
        <is>
          <t>TOTAL</t>
        </is>
      </c>
      <c r="B21" s="16">
        <f>SUM(B9:B20)</f>
        <v/>
      </c>
      <c r="C21" s="16">
        <f>SUM(C9:C20)</f>
        <v/>
      </c>
      <c r="D21" s="16">
        <f>B21-C21</f>
        <v/>
      </c>
      <c r="E21" s="93">
        <f>IFERROR(D21/B21,0)</f>
        <v/>
      </c>
      <c r="F21" s="15">
        <f>REPT("█",ROUND((IFERROR(MIN(C21/B21,1),0))*20,0))&amp;REPT("░",20-ROUND((IFERROR(MIN(C21/B21,1),0))*20,0))&amp;" "&amp;TEXT(IFERROR(MIN(C21/B21,1),0),"0%")</f>
        <v/>
      </c>
    </row>
    <row r="23">
      <c r="A23" s="4" t="inlineStr">
        <is>
          <t>📊 SPENDING BY CATEGORY (YEAR)</t>
        </is>
      </c>
    </row>
    <row r="24">
      <c r="A24" s="1" t="inlineStr">
        <is>
          <t>Category</t>
        </is>
      </c>
      <c r="B24" s="1" t="inlineStr">
        <is>
          <t>Annual Total</t>
        </is>
      </c>
      <c r="C24" s="1" t="inlineStr">
        <is>
          <t>% of Annual Spending</t>
        </is>
      </c>
      <c r="D24" s="1" t="inlineStr">
        <is>
          <t>Avg Monthly</t>
        </is>
      </c>
      <c r="E24" s="1" t="inlineStr"/>
      <c r="F24" s="102" t="n"/>
    </row>
    <row r="25">
      <c r="A25" s="9" t="inlineStr">
        <is>
          <t>Housing</t>
        </is>
      </c>
      <c r="B25" s="10">
        <f>SUMIFS('Expense Tracker'!E4:E503,'Expense Tracker'!C4:C503,A25,'Expense Tracker'!M4:M503,YEAR(TODAY()))</f>
        <v/>
      </c>
      <c r="C25" s="46">
        <f>IFERROR(B25/$C$21,0)</f>
        <v/>
      </c>
      <c r="D25" s="10">
        <f>B25/12</f>
        <v/>
      </c>
      <c r="E25" s="11">
        <f>REPT("█",ROUND((IFERROR(B25/MAX($B$25:$B$42),0))*20,0))&amp;REPT("░",20-ROUND((IFERROR(B25/MAX($B$25:$B$42),0))*20,0))&amp;" "&amp;TEXT(IFERROR(B25/MAX($B$25:$B$42),0),"0%")</f>
        <v/>
      </c>
      <c r="F25" s="9" t="n"/>
    </row>
    <row r="26">
      <c r="A26" s="12" t="inlineStr">
        <is>
          <t>Food &amp; Dining</t>
        </is>
      </c>
      <c r="B26" s="13">
        <f>SUMIFS('Expense Tracker'!E4:E503,'Expense Tracker'!C4:C503,A26,'Expense Tracker'!M4:M503,YEAR(TODAY()))</f>
        <v/>
      </c>
      <c r="C26" s="50">
        <f>IFERROR(B26/$C$21,0)</f>
        <v/>
      </c>
      <c r="D26" s="13">
        <f>B26/12</f>
        <v/>
      </c>
      <c r="E26" s="14">
        <f>REPT("█",ROUND((IFERROR(B26/MAX($B$25:$B$42),0))*20,0))&amp;REPT("░",20-ROUND((IFERROR(B26/MAX($B$25:$B$42),0))*20,0))&amp;" "&amp;TEXT(IFERROR(B26/MAX($B$25:$B$42),0),"0%")</f>
        <v/>
      </c>
      <c r="F26" s="12" t="n"/>
    </row>
    <row r="27">
      <c r="A27" s="9" t="inlineStr">
        <is>
          <t>Transportation</t>
        </is>
      </c>
      <c r="B27" s="10">
        <f>SUMIFS('Expense Tracker'!E4:E503,'Expense Tracker'!C4:C503,A27,'Expense Tracker'!M4:M503,YEAR(TODAY()))</f>
        <v/>
      </c>
      <c r="C27" s="46">
        <f>IFERROR(B27/$C$21,0)</f>
        <v/>
      </c>
      <c r="D27" s="10">
        <f>B27/12</f>
        <v/>
      </c>
      <c r="E27" s="11">
        <f>REPT("█",ROUND((IFERROR(B27/MAX($B$25:$B$42),0))*20,0))&amp;REPT("░",20-ROUND((IFERROR(B27/MAX($B$25:$B$42),0))*20,0))&amp;" "&amp;TEXT(IFERROR(B27/MAX($B$25:$B$42),0),"0%")</f>
        <v/>
      </c>
      <c r="F27" s="9" t="n"/>
    </row>
    <row r="28">
      <c r="A28" s="12" t="inlineStr">
        <is>
          <t>Entertainment</t>
        </is>
      </c>
      <c r="B28" s="13">
        <f>SUMIFS('Expense Tracker'!E4:E503,'Expense Tracker'!C4:C503,A28,'Expense Tracker'!M4:M503,YEAR(TODAY()))</f>
        <v/>
      </c>
      <c r="C28" s="50">
        <f>IFERROR(B28/$C$21,0)</f>
        <v/>
      </c>
      <c r="D28" s="13">
        <f>B28/12</f>
        <v/>
      </c>
      <c r="E28" s="14">
        <f>REPT("█",ROUND((IFERROR(B28/MAX($B$25:$B$42),0))*20,0))&amp;REPT("░",20-ROUND((IFERROR(B28/MAX($B$25:$B$42),0))*20,0))&amp;" "&amp;TEXT(IFERROR(B28/MAX($B$25:$B$42),0),"0%")</f>
        <v/>
      </c>
      <c r="F28" s="12" t="n"/>
    </row>
    <row r="29">
      <c r="A29" s="9" t="inlineStr">
        <is>
          <t>Shopping</t>
        </is>
      </c>
      <c r="B29" s="10">
        <f>SUMIFS('Expense Tracker'!E4:E503,'Expense Tracker'!C4:C503,A29,'Expense Tracker'!M4:M503,YEAR(TODAY()))</f>
        <v/>
      </c>
      <c r="C29" s="46">
        <f>IFERROR(B29/$C$21,0)</f>
        <v/>
      </c>
      <c r="D29" s="10">
        <f>B29/12</f>
        <v/>
      </c>
      <c r="E29" s="11">
        <f>REPT("█",ROUND((IFERROR(B29/MAX($B$25:$B$42),0))*20,0))&amp;REPT("░",20-ROUND((IFERROR(B29/MAX($B$25:$B$42),0))*20,0))&amp;" "&amp;TEXT(IFERROR(B29/MAX($B$25:$B$42),0),"0%")</f>
        <v/>
      </c>
      <c r="F29" s="9" t="n"/>
    </row>
    <row r="30">
      <c r="A30" s="12" t="inlineStr">
        <is>
          <t>Healthcare</t>
        </is>
      </c>
      <c r="B30" s="13">
        <f>SUMIFS('Expense Tracker'!E4:E503,'Expense Tracker'!C4:C503,A30,'Expense Tracker'!M4:M503,YEAR(TODAY()))</f>
        <v/>
      </c>
      <c r="C30" s="50">
        <f>IFERROR(B30/$C$21,0)</f>
        <v/>
      </c>
      <c r="D30" s="13">
        <f>B30/12</f>
        <v/>
      </c>
      <c r="E30" s="14">
        <f>REPT("█",ROUND((IFERROR(B30/MAX($B$25:$B$42),0))*20,0))&amp;REPT("░",20-ROUND((IFERROR(B30/MAX($B$25:$B$42),0))*20,0))&amp;" "&amp;TEXT(IFERROR(B30/MAX($B$25:$B$42),0),"0%")</f>
        <v/>
      </c>
      <c r="F30" s="12" t="n"/>
    </row>
    <row r="31">
      <c r="A31" s="9" t="inlineStr">
        <is>
          <t>Utilities</t>
        </is>
      </c>
      <c r="B31" s="10">
        <f>SUMIFS('Expense Tracker'!E4:E503,'Expense Tracker'!C4:C503,A31,'Expense Tracker'!M4:M503,YEAR(TODAY()))</f>
        <v/>
      </c>
      <c r="C31" s="46">
        <f>IFERROR(B31/$C$21,0)</f>
        <v/>
      </c>
      <c r="D31" s="10">
        <f>B31/12</f>
        <v/>
      </c>
      <c r="E31" s="11">
        <f>REPT("█",ROUND((IFERROR(B31/MAX($B$25:$B$42),0))*20,0))&amp;REPT("░",20-ROUND((IFERROR(B31/MAX($B$25:$B$42),0))*20,0))&amp;" "&amp;TEXT(IFERROR(B31/MAX($B$25:$B$42),0),"0%")</f>
        <v/>
      </c>
      <c r="F31" s="9" t="n"/>
    </row>
    <row r="32">
      <c r="A32" s="12" t="inlineStr">
        <is>
          <t>Education</t>
        </is>
      </c>
      <c r="B32" s="13">
        <f>SUMIFS('Expense Tracker'!E4:E503,'Expense Tracker'!C4:C503,A32,'Expense Tracker'!M4:M503,YEAR(TODAY()))</f>
        <v/>
      </c>
      <c r="C32" s="50">
        <f>IFERROR(B32/$C$21,0)</f>
        <v/>
      </c>
      <c r="D32" s="13">
        <f>B32/12</f>
        <v/>
      </c>
      <c r="E32" s="14">
        <f>REPT("█",ROUND((IFERROR(B32/MAX($B$25:$B$42),0))*20,0))&amp;REPT("░",20-ROUND((IFERROR(B32/MAX($B$25:$B$42),0))*20,0))&amp;" "&amp;TEXT(IFERROR(B32/MAX($B$25:$B$42),0),"0%")</f>
        <v/>
      </c>
      <c r="F32" s="12" t="n"/>
    </row>
    <row r="33">
      <c r="A33" s="9" t="inlineStr">
        <is>
          <t>Personal Care</t>
        </is>
      </c>
      <c r="B33" s="10">
        <f>SUMIFS('Expense Tracker'!E4:E503,'Expense Tracker'!C4:C503,A33,'Expense Tracker'!M4:M503,YEAR(TODAY()))</f>
        <v/>
      </c>
      <c r="C33" s="46">
        <f>IFERROR(B33/$C$21,0)</f>
        <v/>
      </c>
      <c r="D33" s="10">
        <f>B33/12</f>
        <v/>
      </c>
      <c r="E33" s="11">
        <f>REPT("█",ROUND((IFERROR(B33/MAX($B$25:$B$42),0))*20,0))&amp;REPT("░",20-ROUND((IFERROR(B33/MAX($B$25:$B$42),0))*20,0))&amp;" "&amp;TEXT(IFERROR(B33/MAX($B$25:$B$42),0),"0%")</f>
        <v/>
      </c>
      <c r="F33" s="9" t="n"/>
    </row>
    <row r="34">
      <c r="A34" s="12" t="inlineStr">
        <is>
          <t>Savings</t>
        </is>
      </c>
      <c r="B34" s="13">
        <f>SUMIFS('Expense Tracker'!E4:E503,'Expense Tracker'!C4:C503,A34,'Expense Tracker'!M4:M503,YEAR(TODAY()))</f>
        <v/>
      </c>
      <c r="C34" s="50">
        <f>IFERROR(B34/$C$21,0)</f>
        <v/>
      </c>
      <c r="D34" s="13">
        <f>B34/12</f>
        <v/>
      </c>
      <c r="E34" s="14">
        <f>REPT("█",ROUND((IFERROR(B34/MAX($B$25:$B$42),0))*20,0))&amp;REPT("░",20-ROUND((IFERROR(B34/MAX($B$25:$B$42),0))*20,0))&amp;" "&amp;TEXT(IFERROR(B34/MAX($B$25:$B$42),0),"0%")</f>
        <v/>
      </c>
      <c r="F34" s="12" t="n"/>
    </row>
    <row r="35">
      <c r="A35" s="9" t="inlineStr">
        <is>
          <t>Investments</t>
        </is>
      </c>
      <c r="B35" s="10">
        <f>SUMIFS('Expense Tracker'!E4:E503,'Expense Tracker'!C4:C503,A35,'Expense Tracker'!M4:M503,YEAR(TODAY()))</f>
        <v/>
      </c>
      <c r="C35" s="46">
        <f>IFERROR(B35/$C$21,0)</f>
        <v/>
      </c>
      <c r="D35" s="10">
        <f>B35/12</f>
        <v/>
      </c>
      <c r="E35" s="11">
        <f>REPT("█",ROUND((IFERROR(B35/MAX($B$25:$B$42),0))*20,0))&amp;REPT("░",20-ROUND((IFERROR(B35/MAX($B$25:$B$42),0))*20,0))&amp;" "&amp;TEXT(IFERROR(B35/MAX($B$25:$B$42),0),"0%")</f>
        <v/>
      </c>
      <c r="F35" s="9" t="n"/>
    </row>
    <row r="36">
      <c r="A36" s="12" t="inlineStr">
        <is>
          <t>Debt Payment</t>
        </is>
      </c>
      <c r="B36" s="13">
        <f>SUMIFS('Expense Tracker'!E4:E503,'Expense Tracker'!C4:C503,A36,'Expense Tracker'!M4:M503,YEAR(TODAY()))</f>
        <v/>
      </c>
      <c r="C36" s="50">
        <f>IFERROR(B36/$C$21,0)</f>
        <v/>
      </c>
      <c r="D36" s="13">
        <f>B36/12</f>
        <v/>
      </c>
      <c r="E36" s="14">
        <f>REPT("█",ROUND((IFERROR(B36/MAX($B$25:$B$42),0))*20,0))&amp;REPT("░",20-ROUND((IFERROR(B36/MAX($B$25:$B$42),0))*20,0))&amp;" "&amp;TEXT(IFERROR(B36/MAX($B$25:$B$42),0),"0%")</f>
        <v/>
      </c>
      <c r="F36" s="12" t="n"/>
    </row>
    <row r="37">
      <c r="A37" s="9" t="inlineStr">
        <is>
          <t>Kids</t>
        </is>
      </c>
      <c r="B37" s="10">
        <f>SUMIFS('Expense Tracker'!E4:E503,'Expense Tracker'!C4:C503,A37,'Expense Tracker'!M4:M503,YEAR(TODAY()))</f>
        <v/>
      </c>
      <c r="C37" s="46">
        <f>IFERROR(B37/$C$21,0)</f>
        <v/>
      </c>
      <c r="D37" s="10">
        <f>B37/12</f>
        <v/>
      </c>
      <c r="E37" s="11">
        <f>REPT("█",ROUND((IFERROR(B37/MAX($B$25:$B$42),0))*20,0))&amp;REPT("░",20-ROUND((IFERROR(B37/MAX($B$25:$B$42),0))*20,0))&amp;" "&amp;TEXT(IFERROR(B37/MAX($B$25:$B$42),0),"0%")</f>
        <v/>
      </c>
      <c r="F37" s="9" t="n"/>
    </row>
    <row r="38">
      <c r="A38" s="12" t="inlineStr">
        <is>
          <t>Pets</t>
        </is>
      </c>
      <c r="B38" s="13">
        <f>SUMIFS('Expense Tracker'!E4:E503,'Expense Tracker'!C4:C503,A38,'Expense Tracker'!M4:M503,YEAR(TODAY()))</f>
        <v/>
      </c>
      <c r="C38" s="50">
        <f>IFERROR(B38/$C$21,0)</f>
        <v/>
      </c>
      <c r="D38" s="13">
        <f>B38/12</f>
        <v/>
      </c>
      <c r="E38" s="14">
        <f>REPT("█",ROUND((IFERROR(B38/MAX($B$25:$B$42),0))*20,0))&amp;REPT("░",20-ROUND((IFERROR(B38/MAX($B$25:$B$42),0))*20,0))&amp;" "&amp;TEXT(IFERROR(B38/MAX($B$25:$B$42),0),"0%")</f>
        <v/>
      </c>
      <c r="F38" s="12" t="n"/>
    </row>
    <row r="39">
      <c r="A39" s="9" t="inlineStr">
        <is>
          <t>Travel</t>
        </is>
      </c>
      <c r="B39" s="10">
        <f>SUMIFS('Expense Tracker'!E4:E503,'Expense Tracker'!C4:C503,A39,'Expense Tracker'!M4:M503,YEAR(TODAY()))</f>
        <v/>
      </c>
      <c r="C39" s="46">
        <f>IFERROR(B39/$C$21,0)</f>
        <v/>
      </c>
      <c r="D39" s="10">
        <f>B39/12</f>
        <v/>
      </c>
      <c r="E39" s="11">
        <f>REPT("█",ROUND((IFERROR(B39/MAX($B$25:$B$42),0))*20,0))&amp;REPT("░",20-ROUND((IFERROR(B39/MAX($B$25:$B$42),0))*20,0))&amp;" "&amp;TEXT(IFERROR(B39/MAX($B$25:$B$42),0),"0%")</f>
        <v/>
      </c>
      <c r="F39" s="9" t="n"/>
    </row>
    <row r="40">
      <c r="A40" s="12" t="inlineStr">
        <is>
          <t>Subscriptions</t>
        </is>
      </c>
      <c r="B40" s="13">
        <f>SUMIFS('Expense Tracker'!E4:E503,'Expense Tracker'!C4:C503,A40,'Expense Tracker'!M4:M503,YEAR(TODAY()))</f>
        <v/>
      </c>
      <c r="C40" s="50">
        <f>IFERROR(B40/$C$21,0)</f>
        <v/>
      </c>
      <c r="D40" s="13">
        <f>B40/12</f>
        <v/>
      </c>
      <c r="E40" s="14">
        <f>REPT("█",ROUND((IFERROR(B40/MAX($B$25:$B$42),0))*20,0))&amp;REPT("░",20-ROUND((IFERROR(B40/MAX($B$25:$B$42),0))*20,0))&amp;" "&amp;TEXT(IFERROR(B40/MAX($B$25:$B$42),0),"0%")</f>
        <v/>
      </c>
      <c r="F40" s="12" t="n"/>
    </row>
    <row r="41">
      <c r="A41" s="9" t="inlineStr">
        <is>
          <t>Insurance</t>
        </is>
      </c>
      <c r="B41" s="10">
        <f>SUMIFS('Expense Tracker'!E4:E503,'Expense Tracker'!C4:C503,A41,'Expense Tracker'!M4:M503,YEAR(TODAY()))</f>
        <v/>
      </c>
      <c r="C41" s="46">
        <f>IFERROR(B41/$C$21,0)</f>
        <v/>
      </c>
      <c r="D41" s="10">
        <f>B41/12</f>
        <v/>
      </c>
      <c r="E41" s="11">
        <f>REPT("█",ROUND((IFERROR(B41/MAX($B$25:$B$42),0))*20,0))&amp;REPT("░",20-ROUND((IFERROR(B41/MAX($B$25:$B$42),0))*20,0))&amp;" "&amp;TEXT(IFERROR(B41/MAX($B$25:$B$42),0),"0%")</f>
        <v/>
      </c>
      <c r="F41" s="9" t="n"/>
    </row>
    <row r="42">
      <c r="A42" s="12" t="inlineStr">
        <is>
          <t>Other</t>
        </is>
      </c>
      <c r="B42" s="13">
        <f>SUMIFS('Expense Tracker'!E4:E503,'Expense Tracker'!C4:C503,A42,'Expense Tracker'!M4:M503,YEAR(TODAY()))</f>
        <v/>
      </c>
      <c r="C42" s="50">
        <f>IFERROR(B42/$C$21,0)</f>
        <v/>
      </c>
      <c r="D42" s="13">
        <f>B42/12</f>
        <v/>
      </c>
      <c r="E42" s="14">
        <f>REPT("█",ROUND((IFERROR(B42/MAX($B$25:$B$42),0))*20,0))&amp;REPT("░",20-ROUND((IFERROR(B42/MAX($B$25:$B$42),0))*20,0))&amp;" "&amp;TEXT(IFERROR(B42/MAX($B$25:$B$42),0),"0%")</f>
        <v/>
      </c>
      <c r="F42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24">
    <mergeCell ref="E24:F24"/>
    <mergeCell ref="E33:F33"/>
    <mergeCell ref="E42:F42"/>
    <mergeCell ref="A3:F3"/>
    <mergeCell ref="E39:F39"/>
    <mergeCell ref="A2:F2"/>
    <mergeCell ref="E35:F35"/>
    <mergeCell ref="E38:F38"/>
    <mergeCell ref="E29:F29"/>
    <mergeCell ref="A23:F23"/>
    <mergeCell ref="E28:F28"/>
    <mergeCell ref="E40:F40"/>
    <mergeCell ref="E31:F31"/>
    <mergeCell ref="E34:F34"/>
    <mergeCell ref="E30:F30"/>
    <mergeCell ref="E27:F27"/>
    <mergeCell ref="E36:F36"/>
    <mergeCell ref="E26:F26"/>
    <mergeCell ref="E32:F32"/>
    <mergeCell ref="E25:F25"/>
    <mergeCell ref="A1:F1"/>
    <mergeCell ref="E41:F41"/>
    <mergeCell ref="E37:F37"/>
    <mergeCell ref="A7:F7"/>
  </mergeCells>
  <conditionalFormatting sqref="D9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9:E21">
    <cfRule type="cellIs" priority="3" operator="greaterThanOrEqual" dxfId="2">
      <formula>0.2</formula>
    </cfRule>
    <cfRule type="cellIs" priority="4" operator="between" dxfId="4">
      <formula>0.1</formula>
      <formula>0.199999</formula>
    </cfRule>
    <cfRule type="cellIs" priority="5" operator="lessThan" dxfId="3">
      <formula>0.1</formula>
    </cfRule>
  </conditionalFormatting>
  <conditionalFormatting sqref="B25:B42">
    <cfRule type="top10" rank="5" priority="6" dxfId="4"/>
  </conditionalFormatting>
  <pageMargins left="0.75" right="0.75" top="1" bottom="1" header="0.5" footer="0.5"/>
  <pageSetup orientation="landscape" fitToHeight="0" fitToWidth="1"/>
  <headerFooter>
    <oddHeader>&amp;CUltimate Budget Planner | Annual Overview | Page &amp;P</oddHeader>
    <oddFooter>&amp;CGenerated with Budget Planner Pro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Budget Planner Pro</dc:creator>
  <dc:title>Ultimate Budget Planner</dc:title>
  <dc:description>Complete personal finance management system</dc:description>
  <dc:subject>Personal Finance Management</dc:subject>
  <dcterms:created xsi:type="dcterms:W3CDTF">2026-06-14T07:00:32Z</dcterms:created>
  <dcterms:modified xsi:type="dcterms:W3CDTF">2026-06-14T07:00:33Z</dcterms:modified>
  <cp:category>Personal Finance Template</cp:category>
  <cp:keywords>budget, finance, planner, tracker, savings, debt, expenses</cp:keywords>
</cp:coreProperties>
</file>